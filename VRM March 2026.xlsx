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T" sheetId="1" r:id="rId5"/>
    <sheet state="visible" name="Dropped VT " sheetId="2" r:id="rId6"/>
    <sheet state="visible" name="Rejected VT" sheetId="3" r:id="rId7"/>
    <sheet state="visible" name="Newly Registered VT" sheetId="4" r:id="rId8"/>
  </sheets>
  <definedNames/>
  <calcPr/>
</workbook>
</file>

<file path=xl/sharedStrings.xml><?xml version="1.0" encoding="utf-8"?>
<sst xmlns="http://schemas.openxmlformats.org/spreadsheetml/2006/main" count="10775" uniqueCount="2292">
  <si>
    <t>Title</t>
  </si>
  <si>
    <t>Offering id</t>
  </si>
  <si>
    <t>Offering start</t>
  </si>
  <si>
    <t>Offering end</t>
  </si>
  <si>
    <t>Offering status</t>
  </si>
  <si>
    <t>Volunteer id</t>
  </si>
  <si>
    <t>Volunteer name</t>
  </si>
  <si>
    <t>Joined(ev)</t>
  </si>
  <si>
    <t>Reference</t>
  </si>
  <si>
    <t>Residence city</t>
  </si>
  <si>
    <t>Residence state</t>
  </si>
  <si>
    <t>Residence country</t>
  </si>
  <si>
    <t>Profession</t>
  </si>
  <si>
    <t>Current job</t>
  </si>
  <si>
    <t>Email</t>
  </si>
  <si>
    <t>First session</t>
  </si>
  <si>
    <t>Latest session</t>
  </si>
  <si>
    <t>Center id</t>
  </si>
  <si>
    <t>Center name</t>
  </si>
  <si>
    <t>State</t>
  </si>
  <si>
    <t>District</t>
  </si>
  <si>
    <t>Donor</t>
  </si>
  <si>
    <t>Sub project</t>
  </si>
  <si>
    <t>Language</t>
  </si>
  <si>
    <t>Board</t>
  </si>
  <si>
    <t>Grade</t>
  </si>
  <si>
    <t>Subject</t>
  </si>
  <si>
    <t>Registered</t>
  </si>
  <si>
    <t>Enrolled</t>
  </si>
  <si>
    <t>Attendance%</t>
  </si>
  <si>
    <t>CLH</t>
  </si>
  <si>
    <t>Planned</t>
  </si>
  <si>
    <t>Scheduled</t>
  </si>
  <si>
    <t>Completed</t>
  </si>
  <si>
    <t>Offline</t>
  </si>
  <si>
    <t>Cancelled</t>
  </si>
  <si>
    <t>Total hours(Comp+Offline)</t>
  </si>
  <si>
    <t>AY-25-26</t>
  </si>
  <si>
    <t>31/03/26</t>
  </si>
  <si>
    <t>Running</t>
  </si>
  <si>
    <t>Nikitha Madan</t>
  </si>
  <si>
    <t>Emailer</t>
  </si>
  <si>
    <t>Bengaluru</t>
  </si>
  <si>
    <t>Karnataka</t>
  </si>
  <si>
    <t>India</t>
  </si>
  <si>
    <t>Others</t>
  </si>
  <si>
    <t>nikitha.madan01@gmail.com</t>
  </si>
  <si>
    <t>ZPHS Goriganur</t>
  </si>
  <si>
    <t>Andhra Pradesh</t>
  </si>
  <si>
    <t>YSR Kadapa</t>
  </si>
  <si>
    <t>Ashraya Hastha Trust</t>
  </si>
  <si>
    <t>DCP</t>
  </si>
  <si>
    <t>Telugu</t>
  </si>
  <si>
    <t>eVidyaloka</t>
  </si>
  <si>
    <t>English</t>
  </si>
  <si>
    <t>17/02/26</t>
  </si>
  <si>
    <t>Aaradhy Bhavsar</t>
  </si>
  <si>
    <t>Internet Search</t>
  </si>
  <si>
    <t>Aurangabad</t>
  </si>
  <si>
    <t>Maharashtra</t>
  </si>
  <si>
    <t>student_ug</t>
  </si>
  <si>
    <t>student</t>
  </si>
  <si>
    <t>aaradhybhavsar28@gmail.com</t>
  </si>
  <si>
    <t>28/03/26</t>
  </si>
  <si>
    <t>KGBV Banagram Nichlaul</t>
  </si>
  <si>
    <t>Uttar Pradesh</t>
  </si>
  <si>
    <t>MAHARAJGANJ</t>
  </si>
  <si>
    <t>Microsoft - EmpowerED</t>
  </si>
  <si>
    <t>Empowered Ed</t>
  </si>
  <si>
    <t>Hindi</t>
  </si>
  <si>
    <t>Guest Sessions</t>
  </si>
  <si>
    <t>21/04/25</t>
  </si>
  <si>
    <t>Backfill</t>
  </si>
  <si>
    <t>Aashish Subedi</t>
  </si>
  <si>
    <t>Kathmandu</t>
  </si>
  <si>
    <t>Bagmati</t>
  </si>
  <si>
    <t>Nepal</t>
  </si>
  <si>
    <t>student_pg</t>
  </si>
  <si>
    <t>PhdCandidate</t>
  </si>
  <si>
    <t>aasubedi108@gmail.com</t>
  </si>
  <si>
    <t>KGBV Pub Mangaldai</t>
  </si>
  <si>
    <t>Assam</t>
  </si>
  <si>
    <t>DARRANG</t>
  </si>
  <si>
    <t>Murty Trust</t>
  </si>
  <si>
    <t>Artificial Intelligence (AI)</t>
  </si>
  <si>
    <t>14/07/25</t>
  </si>
  <si>
    <t>Aastha Patel</t>
  </si>
  <si>
    <t>Surat</t>
  </si>
  <si>
    <t>Gujarat</t>
  </si>
  <si>
    <t>others</t>
  </si>
  <si>
    <t>Engineer</t>
  </si>
  <si>
    <t>aasthap0205@gmail.com</t>
  </si>
  <si>
    <t>24/03/26</t>
  </si>
  <si>
    <t>Bapla Pay Center School</t>
  </si>
  <si>
    <t>BANAS¬†KANTHA</t>
  </si>
  <si>
    <t>CAMS Online</t>
  </si>
  <si>
    <t>Gujarathi</t>
  </si>
  <si>
    <t>Aayush Khopade</t>
  </si>
  <si>
    <t>Scaler School of Technology - Interviewbit Software Services Pcvt Ltd</t>
  </si>
  <si>
    <t>teacher_school</t>
  </si>
  <si>
    <t>Student</t>
  </si>
  <si>
    <t>khopadeayush96@gmail.com</t>
  </si>
  <si>
    <t>30/03/26</t>
  </si>
  <si>
    <t>KGBV Keshraha</t>
  </si>
  <si>
    <t>SIDDHARTHNAGAR</t>
  </si>
  <si>
    <t>Concise content 1</t>
  </si>
  <si>
    <t>14/08/25</t>
  </si>
  <si>
    <t>Abarna T</t>
  </si>
  <si>
    <t>Infosys BPM Ltd</t>
  </si>
  <si>
    <t>Pollachi</t>
  </si>
  <si>
    <t>Tamil Nadu</t>
  </si>
  <si>
    <t>corporates</t>
  </si>
  <si>
    <t>Quality Engineering Analyst</t>
  </si>
  <si>
    <t>abarna.t@infosys.com</t>
  </si>
  <si>
    <t>GHS Kurundhamadam</t>
  </si>
  <si>
    <t>Virudhunagar</t>
  </si>
  <si>
    <t>India Welfare Trust</t>
  </si>
  <si>
    <t>Tamil</t>
  </si>
  <si>
    <t>Abhay Rathore</t>
  </si>
  <si>
    <t>BMS College of Engineering</t>
  </si>
  <si>
    <t>New Delhi</t>
  </si>
  <si>
    <t>Delhi</t>
  </si>
  <si>
    <t>2nd year ug student from University of delhi</t>
  </si>
  <si>
    <t>abhayrathore1612@gmail.com</t>
  </si>
  <si>
    <t>KGBV Dalgaon Sialmari</t>
  </si>
  <si>
    <t>Spoken English: Level 2</t>
  </si>
  <si>
    <t>Abhigna Kudumula</t>
  </si>
  <si>
    <t>Hyderabad</t>
  </si>
  <si>
    <t>Telangana</t>
  </si>
  <si>
    <t>Doctor</t>
  </si>
  <si>
    <t>abhignar94@gmail.com</t>
  </si>
  <si>
    <t>KGBV Uska Bazar</t>
  </si>
  <si>
    <t>Abhinav Narayan</t>
  </si>
  <si>
    <t>abhinav.23bcs10014@sst.scaler.com</t>
  </si>
  <si>
    <t>Concise Content 1</t>
  </si>
  <si>
    <t>Abhishek Chauhan</t>
  </si>
  <si>
    <t>Lucknow</t>
  </si>
  <si>
    <t>Free</t>
  </si>
  <si>
    <t>abhi.mundane@gmail.com</t>
  </si>
  <si>
    <t>KGBV Tamulpur</t>
  </si>
  <si>
    <t>BAKSA</t>
  </si>
  <si>
    <t>Explore Coding</t>
  </si>
  <si>
    <t>23/08/25</t>
  </si>
  <si>
    <t>Abhishek Gor</t>
  </si>
  <si>
    <t>Spandan</t>
  </si>
  <si>
    <t>Nashik</t>
  </si>
  <si>
    <t>abhishek.gor@siom.in</t>
  </si>
  <si>
    <t>25/03/26</t>
  </si>
  <si>
    <t>Mota Dahisara Kanya School</t>
  </si>
  <si>
    <t>MORBI</t>
  </si>
  <si>
    <t>Retail</t>
  </si>
  <si>
    <t>Abhishek Mishra</t>
  </si>
  <si>
    <t>DataScientist</t>
  </si>
  <si>
    <t>abhimishra.91@gmail.com</t>
  </si>
  <si>
    <t>Aditya Mali</t>
  </si>
  <si>
    <t>Larsen &amp; Toubro Infotech Ltd.</t>
  </si>
  <si>
    <t>Mumbai</t>
  </si>
  <si>
    <t>SoftwareEngineer</t>
  </si>
  <si>
    <t>adityamaliedu@gmail.com</t>
  </si>
  <si>
    <t>ZPPS Waghapur</t>
  </si>
  <si>
    <t>AHMADNAGAR</t>
  </si>
  <si>
    <t>CaratLane Trading Private Ltd.</t>
  </si>
  <si>
    <t>Marathi</t>
  </si>
  <si>
    <t>MHSB</t>
  </si>
  <si>
    <t>Conceptual Learning - Math</t>
  </si>
  <si>
    <t>18/11/25</t>
  </si>
  <si>
    <t>Amulya Kashyap</t>
  </si>
  <si>
    <t>Software Engineer</t>
  </si>
  <si>
    <t>amulyakashyap4@gmail.com</t>
  </si>
  <si>
    <t>20/03/26</t>
  </si>
  <si>
    <t>GHPS Chikka Basavana Pura</t>
  </si>
  <si>
    <t>Bengaluru South</t>
  </si>
  <si>
    <t>Kannada</t>
  </si>
  <si>
    <t>Amulya Y G</t>
  </si>
  <si>
    <t>Mangalore</t>
  </si>
  <si>
    <t>Supervisor</t>
  </si>
  <si>
    <t>amulyayg@gmail.com</t>
  </si>
  <si>
    <t>GHPS Joognahalli</t>
  </si>
  <si>
    <t>BENGALURU¬†U¬†NORTH</t>
  </si>
  <si>
    <t>Broadridge</t>
  </si>
  <si>
    <t>Basic Digital Literacy</t>
  </si>
  <si>
    <t>Ananthanarayanan Chandrasekaran</t>
  </si>
  <si>
    <t>Thiruchirapalli</t>
  </si>
  <si>
    <t>business/self_employed</t>
  </si>
  <si>
    <t>Stock Trader</t>
  </si>
  <si>
    <t>ananth41188@gmail.com</t>
  </si>
  <si>
    <t>GHSS Pamboor</t>
  </si>
  <si>
    <t>Ramanathapuram</t>
  </si>
  <si>
    <t>TNSB</t>
  </si>
  <si>
    <t>27/10/25</t>
  </si>
  <si>
    <t>Aneesfathima S</t>
  </si>
  <si>
    <t>Chennai</t>
  </si>
  <si>
    <t>Social Worker</t>
  </si>
  <si>
    <t>aneessaara007@gmail.com</t>
  </si>
  <si>
    <t>13/03/26</t>
  </si>
  <si>
    <t>GHS Kamudakudi</t>
  </si>
  <si>
    <t>26/06/25</t>
  </si>
  <si>
    <t>anil sariki</t>
  </si>
  <si>
    <t>Novartis Healthcare Private Limited</t>
  </si>
  <si>
    <t>Life, Physical, and Social Science</t>
  </si>
  <si>
    <t>Manager</t>
  </si>
  <si>
    <t>anil.acumen@gmail.com</t>
  </si>
  <si>
    <t>MPUPS S R Palle</t>
  </si>
  <si>
    <t>Anjali Dave</t>
  </si>
  <si>
    <t>Vadodara</t>
  </si>
  <si>
    <t>retired_professional</t>
  </si>
  <si>
    <t>freelancer</t>
  </si>
  <si>
    <t>ajdave49@gmail.com</t>
  </si>
  <si>
    <t>23/03/26</t>
  </si>
  <si>
    <t>Bagasara Primary School</t>
  </si>
  <si>
    <t>GSEB</t>
  </si>
  <si>
    <t>22/08/25</t>
  </si>
  <si>
    <t>Ankit Sharma</t>
  </si>
  <si>
    <t>KPMG Bangalore</t>
  </si>
  <si>
    <t>KPMG</t>
  </si>
  <si>
    <t>ankitrsharma@gmail.com</t>
  </si>
  <si>
    <t>Bhavpar Primary School</t>
  </si>
  <si>
    <t>Maliya MT School</t>
  </si>
  <si>
    <t>Ankita Dutta</t>
  </si>
  <si>
    <t>Kolkata</t>
  </si>
  <si>
    <t>West Bengal</t>
  </si>
  <si>
    <t>Student, Machine Learning Intern</t>
  </si>
  <si>
    <t>ankitaxdutta@gmail.com</t>
  </si>
  <si>
    <t>KGBV Bechimari</t>
  </si>
  <si>
    <t>Ansh Khullar</t>
  </si>
  <si>
    <t>Firozpur</t>
  </si>
  <si>
    <t>Punjab</t>
  </si>
  <si>
    <t>hometutor</t>
  </si>
  <si>
    <t>anshkh1as@gmail.com</t>
  </si>
  <si>
    <t>14/03/26</t>
  </si>
  <si>
    <t>KGBV Itava</t>
  </si>
  <si>
    <t>Conceptual Learning Math-HM</t>
  </si>
  <si>
    <t>Anshika Awasthi</t>
  </si>
  <si>
    <t>Unnao</t>
  </si>
  <si>
    <t>Businessdevelopmentassociate</t>
  </si>
  <si>
    <t>anshikaawasthi0112@gmail.com</t>
  </si>
  <si>
    <t>26/03/26</t>
  </si>
  <si>
    <t>Anshuk Ghosh</t>
  </si>
  <si>
    <t>AssistantManager</t>
  </si>
  <si>
    <t>1anshuk6@gmail.com</t>
  </si>
  <si>
    <t>UPS Itwa</t>
  </si>
  <si>
    <t>Anuradha R</t>
  </si>
  <si>
    <t>Teacher</t>
  </si>
  <si>
    <t>srisister@gmail.com</t>
  </si>
  <si>
    <t>RSGBHSS Paramakudi</t>
  </si>
  <si>
    <t>Archana Revana</t>
  </si>
  <si>
    <t>CGI</t>
  </si>
  <si>
    <t>Assistant Manager</t>
  </si>
  <si>
    <t>archana.revana@cgi.com</t>
  </si>
  <si>
    <t>GHPS Sriramapura</t>
  </si>
  <si>
    <t>CHIKKABALLAPURA</t>
  </si>
  <si>
    <t>Lowe's</t>
  </si>
  <si>
    <t>Archisman Midya</t>
  </si>
  <si>
    <t>Intern</t>
  </si>
  <si>
    <t>dukemidya7521@gmail.com</t>
  </si>
  <si>
    <t>Arpitha Shivanna</t>
  </si>
  <si>
    <t>top_managemenet</t>
  </si>
  <si>
    <t>Senior technical account manager</t>
  </si>
  <si>
    <t>arpitha277@gmail.com</t>
  </si>
  <si>
    <t>GHPS Srikantapura</t>
  </si>
  <si>
    <t>Arthi Sivakumar</t>
  </si>
  <si>
    <t>Coimbatore</t>
  </si>
  <si>
    <t>Pursuing PG degree</t>
  </si>
  <si>
    <t>arthisivakumar4@gmail.com</t>
  </si>
  <si>
    <t>Arulselvi A</t>
  </si>
  <si>
    <t>Cognizant Technology Solutions</t>
  </si>
  <si>
    <t>ITEmployee</t>
  </si>
  <si>
    <t>arulselvi.a@cognizant.com</t>
  </si>
  <si>
    <t>GHS K Chettikulam</t>
  </si>
  <si>
    <t>Arun PV</t>
  </si>
  <si>
    <t>Principal Engineer in IT</t>
  </si>
  <si>
    <t>aarunpv@gmail.com</t>
  </si>
  <si>
    <t>GHPS Mallasandra</t>
  </si>
  <si>
    <t>Arya Pandya</t>
  </si>
  <si>
    <t>WhatsApp</t>
  </si>
  <si>
    <t>Pune</t>
  </si>
  <si>
    <t>aryapandya2007@gmail.com</t>
  </si>
  <si>
    <t>Ashok Jain</t>
  </si>
  <si>
    <t>L&amp;T Technology Services</t>
  </si>
  <si>
    <t>ashokkumar.jain@ltts.com</t>
  </si>
  <si>
    <t>KGBV Jogiya</t>
  </si>
  <si>
    <t>Ashutosh Singh</t>
  </si>
  <si>
    <t>Varanasi</t>
  </si>
  <si>
    <t>ashutosh0113singh@gmail.com</t>
  </si>
  <si>
    <t>Astha Nema</t>
  </si>
  <si>
    <t>Jabalpur</t>
  </si>
  <si>
    <t>Madhya Pradesh</t>
  </si>
  <si>
    <t>Fresher</t>
  </si>
  <si>
    <t>nemaastha29@gmail.com</t>
  </si>
  <si>
    <t>KGBV Gadaura</t>
  </si>
  <si>
    <t>AtchutaRam Pariti</t>
  </si>
  <si>
    <t>HPE</t>
  </si>
  <si>
    <t>Architect</t>
  </si>
  <si>
    <t>akshith.aaa@gmail.com</t>
  </si>
  <si>
    <t>ZPHS Devagudi</t>
  </si>
  <si>
    <t>AZRUHANA FARUKEE</t>
  </si>
  <si>
    <t>NEAID</t>
  </si>
  <si>
    <t>Marigaon</t>
  </si>
  <si>
    <t>CA</t>
  </si>
  <si>
    <t>lahorighat.eclassroom.1@evidyaloka.org</t>
  </si>
  <si>
    <t>KGBV Lahorighat</t>
  </si>
  <si>
    <t>MORIGAON</t>
  </si>
  <si>
    <t>23/04/25</t>
  </si>
  <si>
    <t>29/08/25</t>
  </si>
  <si>
    <t>Balamurugan G</t>
  </si>
  <si>
    <t>PM</t>
  </si>
  <si>
    <t>balamurugan.g04@infosys.com</t>
  </si>
  <si>
    <t>GHS Kalaiyur</t>
  </si>
  <si>
    <t>Balasubramanian Prabakaran</t>
  </si>
  <si>
    <t>Villupuram</t>
  </si>
  <si>
    <t>balasubramanian.p08@infosys.com</t>
  </si>
  <si>
    <t>19/01/26</t>
  </si>
  <si>
    <t>Bantu Archana</t>
  </si>
  <si>
    <t>ResearchAssistant</t>
  </si>
  <si>
    <t>archanaabantuu@gmail.com</t>
  </si>
  <si>
    <t>ZPHS Maheshwaram boys</t>
  </si>
  <si>
    <t>RANGAREDDY</t>
  </si>
  <si>
    <t>Bluekare Foundation</t>
  </si>
  <si>
    <t>Conceptual Learning - Science</t>
  </si>
  <si>
    <t>Bhakti Bheda</t>
  </si>
  <si>
    <t>bhaktinabheda@gmail.com</t>
  </si>
  <si>
    <t>Vavaniya Taluka School (Boys)</t>
  </si>
  <si>
    <t>Bhaswati Das</t>
  </si>
  <si>
    <t>ProgramManager</t>
  </si>
  <si>
    <t>bhaswati.das01@infosys.com</t>
  </si>
  <si>
    <t>KGBV Nagrijuli</t>
  </si>
  <si>
    <t>Bhavisha Zaveri</t>
  </si>
  <si>
    <t>Computer and Mathematical</t>
  </si>
  <si>
    <t>bhavi_jasmin@yahoo.com</t>
  </si>
  <si>
    <t>Sarvad Kanya Primary School</t>
  </si>
  <si>
    <t>28/02/26</t>
  </si>
  <si>
    <t>challa chittiBabu</t>
  </si>
  <si>
    <t>Ghaziabad</t>
  </si>
  <si>
    <t>Retd. Professional</t>
  </si>
  <si>
    <t>Consultant</t>
  </si>
  <si>
    <t>ccbabu@gmail.com</t>
  </si>
  <si>
    <t>ZPHS Kothapeta</t>
  </si>
  <si>
    <t>25/06/25</t>
  </si>
  <si>
    <t>ZPHS Chowdur</t>
  </si>
  <si>
    <t>ZPHS Peddapasula</t>
  </si>
  <si>
    <t>ZPHS Veparala</t>
  </si>
  <si>
    <t>KADAPA</t>
  </si>
  <si>
    <t>ZPHS Gudemcheruvu</t>
  </si>
  <si>
    <t>ZPHS Amruthanagar</t>
  </si>
  <si>
    <t>ZPHS Jangalapalli</t>
  </si>
  <si>
    <t>15/07/25</t>
  </si>
  <si>
    <t>Chandani Maniyar</t>
  </si>
  <si>
    <t>Rajkot</t>
  </si>
  <si>
    <t>BusinessAnalyst</t>
  </si>
  <si>
    <t>maniyarchandani@gmail.com</t>
  </si>
  <si>
    <t>Chandni Soni</t>
  </si>
  <si>
    <t>Ahmedabad</t>
  </si>
  <si>
    <t>EcommerceExecutiveAmazonExpert</t>
  </si>
  <si>
    <t>13chandnidsoni@gmail.com</t>
  </si>
  <si>
    <t>KGBV Matel</t>
  </si>
  <si>
    <t>CHANDRA N</t>
  </si>
  <si>
    <t>Retired</t>
  </si>
  <si>
    <t>nckumar93@gmail.com</t>
  </si>
  <si>
    <t>GHS Joognahalli</t>
  </si>
  <si>
    <t>Concise content 2</t>
  </si>
  <si>
    <t>Chenna Jaya</t>
  </si>
  <si>
    <t>Bommanahalli</t>
  </si>
  <si>
    <t>chenna.jaya@gmail.com</t>
  </si>
  <si>
    <t>Chintan Shah</t>
  </si>
  <si>
    <t>finance</t>
  </si>
  <si>
    <t>Research</t>
  </si>
  <si>
    <t>chintanshah1209@gmail.com</t>
  </si>
  <si>
    <t>Chirayu Jejani</t>
  </si>
  <si>
    <t>chirayupradeep.j@infosys.com</t>
  </si>
  <si>
    <t>Daraius Edibam</t>
  </si>
  <si>
    <t>None</t>
  </si>
  <si>
    <t>Edaraius@gmail.com</t>
  </si>
  <si>
    <t>Shree Khakhrechi Mishra PS</t>
  </si>
  <si>
    <t>Darshan D A</t>
  </si>
  <si>
    <t>Software</t>
  </si>
  <si>
    <t>darshang510@gmail.com</t>
  </si>
  <si>
    <t>GHPS Ravuthanahalli</t>
  </si>
  <si>
    <t>Darshan Patel</t>
  </si>
  <si>
    <t>Gandhinagar</t>
  </si>
  <si>
    <t>darshanpatel15105@gmail.com</t>
  </si>
  <si>
    <t>Rampura (VAGH) Primary School</t>
  </si>
  <si>
    <t>Darshana Dutta</t>
  </si>
  <si>
    <t>Infosys Foundation</t>
  </si>
  <si>
    <t>Kamrup</t>
  </si>
  <si>
    <t>darshana.saraswati@gmail.com</t>
  </si>
  <si>
    <t>Deepa Durga Sundaram</t>
  </si>
  <si>
    <t>deepadurgasundaram@gmail.com</t>
  </si>
  <si>
    <t>Deepak Bhagat</t>
  </si>
  <si>
    <t>eVidyaloka Trust</t>
  </si>
  <si>
    <t>Education, Training, and Library</t>
  </si>
  <si>
    <t>Operations</t>
  </si>
  <si>
    <t>deepak.bhagat@evidyaloka.org</t>
  </si>
  <si>
    <t>Udaan DIGITAL SCHOOL</t>
  </si>
  <si>
    <t>27/03/26</t>
  </si>
  <si>
    <t>DEEPAK VARSHNEY</t>
  </si>
  <si>
    <t>BusinessOwner</t>
  </si>
  <si>
    <t>Deepakk.varshney@gmail.com</t>
  </si>
  <si>
    <t>KGBV Juria</t>
  </si>
  <si>
    <t>Nagaon</t>
  </si>
  <si>
    <t>DEVAKI DEVI</t>
  </si>
  <si>
    <t>Housewife</t>
  </si>
  <si>
    <t>gdevaki0305@gmail.com</t>
  </si>
  <si>
    <t>Deval Patel</t>
  </si>
  <si>
    <t>home_makers</t>
  </si>
  <si>
    <t>Tuition teacher</t>
  </si>
  <si>
    <t>devalpatel378@gmail.com</t>
  </si>
  <si>
    <t>Devanshi Patel</t>
  </si>
  <si>
    <t>Production/Manufacturing</t>
  </si>
  <si>
    <t>Supply chain professional</t>
  </si>
  <si>
    <t>psdevanshi@gmail.com</t>
  </si>
  <si>
    <t>Devi Shanmugam</t>
  </si>
  <si>
    <t>Dubai</t>
  </si>
  <si>
    <t>United Arab Emirates</t>
  </si>
  <si>
    <t>Homemaker</t>
  </si>
  <si>
    <t>freelance.id.devi23@gmail.com</t>
  </si>
  <si>
    <t>KGBV Pachchim Kaliabor</t>
  </si>
  <si>
    <t>NAGAON</t>
  </si>
  <si>
    <t>Dhamodharan D</t>
  </si>
  <si>
    <t>Avadi</t>
  </si>
  <si>
    <t>CSV</t>
  </si>
  <si>
    <t>dhamodharan.d@infosys.com</t>
  </si>
  <si>
    <t>GHS Thonugal</t>
  </si>
  <si>
    <t>Dhara Tank</t>
  </si>
  <si>
    <t>Cognizant</t>
  </si>
  <si>
    <t>JrDataanalyst</t>
  </si>
  <si>
    <t>dhara.tank@cognizant.com</t>
  </si>
  <si>
    <t>Dharmaprasad Shetty</t>
  </si>
  <si>
    <t>Business</t>
  </si>
  <si>
    <t>prasad4safety@gmail.com</t>
  </si>
  <si>
    <t>Dharshan Gowda</t>
  </si>
  <si>
    <t>Softwareengineer</t>
  </si>
  <si>
    <t>dharshangowda97@gmail.com</t>
  </si>
  <si>
    <t>GHPS Hunasanahalli</t>
  </si>
  <si>
    <t>RAMANAGARA</t>
  </si>
  <si>
    <t>NHS 82-85 Excel Charitable Trust</t>
  </si>
  <si>
    <t>21/07/25</t>
  </si>
  <si>
    <t>Dharti Patel</t>
  </si>
  <si>
    <t>pateldharti1809@gmail.com</t>
  </si>
  <si>
    <t>PS Vachhol</t>
  </si>
  <si>
    <t>25/07/25</t>
  </si>
  <si>
    <t>31/01/26</t>
  </si>
  <si>
    <t>Dhiraj Johare</t>
  </si>
  <si>
    <t>Tech Mahindra Limited</t>
  </si>
  <si>
    <t>Kalyan</t>
  </si>
  <si>
    <t>dhirajvasant.johare@techmahindra.com</t>
  </si>
  <si>
    <t>ZPPS Kalas Khurd</t>
  </si>
  <si>
    <t>Dhriti Jain</t>
  </si>
  <si>
    <t>jain.dhriti14@gmail.com</t>
  </si>
  <si>
    <t>Dhruv Ganage</t>
  </si>
  <si>
    <t>Petaling Jaya</t>
  </si>
  <si>
    <t>Selangor</t>
  </si>
  <si>
    <t>Malaysia</t>
  </si>
  <si>
    <t>dhruvganage@gmail.com</t>
  </si>
  <si>
    <t>Diksha .</t>
  </si>
  <si>
    <t>Jaipur</t>
  </si>
  <si>
    <t>Rajasthan</t>
  </si>
  <si>
    <t>Process Executive</t>
  </si>
  <si>
    <t>diksha18@infosys.com</t>
  </si>
  <si>
    <t>Dineshchandra Haria</t>
  </si>
  <si>
    <t>consultant</t>
  </si>
  <si>
    <t>dineshzh@gmail.com</t>
  </si>
  <si>
    <t>Dipa Nakrani</t>
  </si>
  <si>
    <t>TeamLead</t>
  </si>
  <si>
    <t>dipabenr.nakrani@infosys.com</t>
  </si>
  <si>
    <t>Divya Jethani</t>
  </si>
  <si>
    <t>divyajethani101@gmail.com</t>
  </si>
  <si>
    <t>Dnyaneshwar Kale</t>
  </si>
  <si>
    <t>L&amp;T Infotech Private Limited</t>
  </si>
  <si>
    <t>Software engineer</t>
  </si>
  <si>
    <t>dpkale123@gmail.com</t>
  </si>
  <si>
    <t>E SNEHA</t>
  </si>
  <si>
    <t>EERASARAPUSNEHA176@gmail.com</t>
  </si>
  <si>
    <t>Eshika Thacker</t>
  </si>
  <si>
    <t>Khurda</t>
  </si>
  <si>
    <t>Odisha</t>
  </si>
  <si>
    <t>eshikathacker@gmail.com</t>
  </si>
  <si>
    <t>Farida Saify</t>
  </si>
  <si>
    <t>Seoni</t>
  </si>
  <si>
    <t>faridahusain343@gmail.com</t>
  </si>
  <si>
    <t>Fiza Shaikh</t>
  </si>
  <si>
    <t>Aligarh</t>
  </si>
  <si>
    <t>fizshaikh2020@gmail.com</t>
  </si>
  <si>
    <t>KGBV Batadrava</t>
  </si>
  <si>
    <t>Gayathri Sankaran</t>
  </si>
  <si>
    <t>notworking</t>
  </si>
  <si>
    <t>gayakansan85@gmail.com</t>
  </si>
  <si>
    <t>GHS Nathathupatti</t>
  </si>
  <si>
    <t>Geetha Narayanan</t>
  </si>
  <si>
    <t>HSBC EDPI</t>
  </si>
  <si>
    <t>geetha.wins@gmail.com</t>
  </si>
  <si>
    <t>GHSS Parthibanur</t>
  </si>
  <si>
    <t>Gitanjali Deka</t>
  </si>
  <si>
    <t>HPInc</t>
  </si>
  <si>
    <t>SoftwareSystemsEngineer</t>
  </si>
  <si>
    <t>gitanjali.deka.999@gmail.com</t>
  </si>
  <si>
    <t>Gokul Kannan</t>
  </si>
  <si>
    <t>SoftwareDeveloper</t>
  </si>
  <si>
    <t>gokulrao31@gmail.com</t>
  </si>
  <si>
    <t>Hanumanthamma KB</t>
  </si>
  <si>
    <t>Sanrakshan Organization</t>
  </si>
  <si>
    <t>Chikkaballapur</t>
  </si>
  <si>
    <t>ClassAssistant</t>
  </si>
  <si>
    <t>sriramapura.eclassroom.1@evidyaloka.org</t>
  </si>
  <si>
    <t>Harini BH</t>
  </si>
  <si>
    <t>Secunderabad</t>
  </si>
  <si>
    <t>Finance Specialist</t>
  </si>
  <si>
    <t>bh_harini@yahoo.com</t>
  </si>
  <si>
    <t>Harmya Khandhadia</t>
  </si>
  <si>
    <t>SolutionArchitect</t>
  </si>
  <si>
    <t>harmya.khandhadia@techmahindra.com</t>
  </si>
  <si>
    <t>Kanya School Vavaniya</t>
  </si>
  <si>
    <t>HARNOOR SINGH</t>
  </si>
  <si>
    <t>Ratiya</t>
  </si>
  <si>
    <t>Haryana</t>
  </si>
  <si>
    <t>Entrepreneur</t>
  </si>
  <si>
    <t>harnoorsingh1845@gmail.com</t>
  </si>
  <si>
    <t>Harsh Patil</t>
  </si>
  <si>
    <t>Signify Innovations India Limited</t>
  </si>
  <si>
    <t>AssDesigner</t>
  </si>
  <si>
    <t>harsh.ashok.patil@cooperlighting.com</t>
  </si>
  <si>
    <t>29/10/25</t>
  </si>
  <si>
    <t>Hema Ananda Rao</t>
  </si>
  <si>
    <t>Adobe India Systems Pvt Ltd</t>
  </si>
  <si>
    <t>Management</t>
  </si>
  <si>
    <t>hraoadb@gmail.com</t>
  </si>
  <si>
    <t>19/03/26</t>
  </si>
  <si>
    <t>GHPS Yadagana Hally</t>
  </si>
  <si>
    <t>MANDYA</t>
  </si>
  <si>
    <t>Self Funded</t>
  </si>
  <si>
    <t>29/12/25</t>
  </si>
  <si>
    <t>Hemalatha Velappan</t>
  </si>
  <si>
    <t>Redmond</t>
  </si>
  <si>
    <t>Washington</t>
  </si>
  <si>
    <t>United States</t>
  </si>
  <si>
    <t>PhDCandidate</t>
  </si>
  <si>
    <t>hema.latha8689@gmail.com</t>
  </si>
  <si>
    <t>PUMS Anaibogi</t>
  </si>
  <si>
    <t>Tiruvannamalai</t>
  </si>
  <si>
    <t>Hemali Chitroda</t>
  </si>
  <si>
    <t>hemalichitroda55@gmail.com</t>
  </si>
  <si>
    <t>Hemamalini Nithyanandam</t>
  </si>
  <si>
    <t>hemamalini.nithyanandam1@hp.com</t>
  </si>
  <si>
    <t>GHS Pulvaikarai</t>
  </si>
  <si>
    <t>Hemasree Swarna</t>
  </si>
  <si>
    <t>ITProfessional</t>
  </si>
  <si>
    <t>hs001088963@techmahindra.com</t>
  </si>
  <si>
    <t>HemaSujith Polam</t>
  </si>
  <si>
    <t>InformationSecurityEngineer</t>
  </si>
  <si>
    <t>hemasujith.polam@infosys.com</t>
  </si>
  <si>
    <t>Hetal Panchal</t>
  </si>
  <si>
    <t>Tallinn</t>
  </si>
  <si>
    <t>Harju</t>
  </si>
  <si>
    <t>Estonia</t>
  </si>
  <si>
    <t>teacher_university</t>
  </si>
  <si>
    <t>HumanResources</t>
  </si>
  <si>
    <t>hetalpanchal923@gmail.com</t>
  </si>
  <si>
    <t>Hitesh Chechediya</t>
  </si>
  <si>
    <t>Bhumi Foundation</t>
  </si>
  <si>
    <t>Selu</t>
  </si>
  <si>
    <t>iforgetmywish@gmail.com</t>
  </si>
  <si>
    <t>GSSS Rampura</t>
  </si>
  <si>
    <t>Sirohi</t>
  </si>
  <si>
    <t>Hufrish Irani</t>
  </si>
  <si>
    <t>Pricewaterhousecoopers India Foundation</t>
  </si>
  <si>
    <t>PwC</t>
  </si>
  <si>
    <t>hufrish.irani@pwc.com</t>
  </si>
  <si>
    <t>Hussain Campwala</t>
  </si>
  <si>
    <t>hussaincampwala08@gmail.com</t>
  </si>
  <si>
    <t>J Lalitha</t>
  </si>
  <si>
    <t>Word of Mouth</t>
  </si>
  <si>
    <t>Tuition</t>
  </si>
  <si>
    <t>lalithaj85@gmail.com</t>
  </si>
  <si>
    <t>KGBV Goroimari</t>
  </si>
  <si>
    <t>KAMRUP-RURAL</t>
  </si>
  <si>
    <t>Jahnabi Pathak</t>
  </si>
  <si>
    <t>Rangia</t>
  </si>
  <si>
    <t>tamulpur.eclassroom.1@evidyaloka.org</t>
  </si>
  <si>
    <t>Jansi N</t>
  </si>
  <si>
    <t>SeniorConsultant</t>
  </si>
  <si>
    <t>jansi.n@infosys.com</t>
  </si>
  <si>
    <t>JANVI YADAV</t>
  </si>
  <si>
    <t>Nothing</t>
  </si>
  <si>
    <t>yjanvi469@gmail.com</t>
  </si>
  <si>
    <t>Kuntasi Primary School</t>
  </si>
  <si>
    <t>Jasmine Gidwani</t>
  </si>
  <si>
    <t>jasminehinduja92@gmail.com</t>
  </si>
  <si>
    <t>Jatin Savaliya</t>
  </si>
  <si>
    <t>IT</t>
  </si>
  <si>
    <t>jatin.savaliya.in@gmail.com</t>
  </si>
  <si>
    <t>Jaya Ragavan</t>
  </si>
  <si>
    <t>Jebel Ali</t>
  </si>
  <si>
    <t>jayaragi@gmail.com</t>
  </si>
  <si>
    <t>Jayaradha Shankar</t>
  </si>
  <si>
    <t>Volunteer</t>
  </si>
  <si>
    <t>jayaradha.shankar@gmail.com</t>
  </si>
  <si>
    <t>GHS Melayakudi</t>
  </si>
  <si>
    <t>Jaysheel Mehd</t>
  </si>
  <si>
    <t>Singapore</t>
  </si>
  <si>
    <t>Sr. Director</t>
  </si>
  <si>
    <t>jaysheelmehd@gmail.com</t>
  </si>
  <si>
    <t>jeevansai jinne</t>
  </si>
  <si>
    <t>Nalgonda</t>
  </si>
  <si>
    <t>jeevansai502@gmail.com</t>
  </si>
  <si>
    <t>Jiya Patel</t>
  </si>
  <si>
    <t>pjiya3862@gmail.com</t>
  </si>
  <si>
    <t>Kartic Vaidyanathan</t>
  </si>
  <si>
    <t>Corporate - Cognizant CH</t>
  </si>
  <si>
    <t>karticv@yahoo.com</t>
  </si>
  <si>
    <t>Kavitha S</t>
  </si>
  <si>
    <t>Bank Of America</t>
  </si>
  <si>
    <t>kavitha.soundarrajan@gmail.com</t>
  </si>
  <si>
    <t>GHS Kanmaisurangudi</t>
  </si>
  <si>
    <t>Kavitha Thumbeti</t>
  </si>
  <si>
    <t>kavitha.thumbeti@cgi.com</t>
  </si>
  <si>
    <t>KAVIYA KALIDASS</t>
  </si>
  <si>
    <t>KK001014816@techmahindra.com</t>
  </si>
  <si>
    <t>Ketan Patel</t>
  </si>
  <si>
    <t>Signify</t>
  </si>
  <si>
    <t>Noida</t>
  </si>
  <si>
    <t>DevelopmentEngineeratSignify</t>
  </si>
  <si>
    <t>ketan.patel@signify.com</t>
  </si>
  <si>
    <t>Khushboo Agrawal</t>
  </si>
  <si>
    <t>Nagpur</t>
  </si>
  <si>
    <t>khushi1505@gmail.com</t>
  </si>
  <si>
    <t>Khushboo Thakkar</t>
  </si>
  <si>
    <t>Notworking</t>
  </si>
  <si>
    <t>lovelyflower.kt@gmail.com</t>
  </si>
  <si>
    <t>Khushi Devre</t>
  </si>
  <si>
    <t>1khushi2020@gmail.com</t>
  </si>
  <si>
    <t>Khyati Kansara</t>
  </si>
  <si>
    <t>StateLead</t>
  </si>
  <si>
    <t>KHYATI.KLK@gmail.com</t>
  </si>
  <si>
    <t>khyati srinivas</t>
  </si>
  <si>
    <t>dc</t>
  </si>
  <si>
    <t>khyati.srinivas@evidyaloka.org</t>
  </si>
  <si>
    <t>Kinjal Davda</t>
  </si>
  <si>
    <t>Kinjal33@gmail.com</t>
  </si>
  <si>
    <t>23/10/25</t>
  </si>
  <si>
    <t>Kiran Kumar</t>
  </si>
  <si>
    <t>IT director</t>
  </si>
  <si>
    <t>kirankumar.k@cgi.com</t>
  </si>
  <si>
    <t>Spoken English: Level 1</t>
  </si>
  <si>
    <t>Kiran Teja Reddy P S</t>
  </si>
  <si>
    <t>BusinessTechnologyAnalyst</t>
  </si>
  <si>
    <t>kirantheja99@gmail.com</t>
  </si>
  <si>
    <t>24/06/25</t>
  </si>
  <si>
    <t>Kiranmai Kosana Venkata</t>
  </si>
  <si>
    <t>BA Continnuum India Private Limited</t>
  </si>
  <si>
    <t>kosanakiran@gmail.com</t>
  </si>
  <si>
    <t>Kishore P</t>
  </si>
  <si>
    <t>Senior Business Consultant</t>
  </si>
  <si>
    <t>kishore04@infosys.com</t>
  </si>
  <si>
    <t>GHS Pudhusurangudi</t>
  </si>
  <si>
    <t>Kondayil Sandhya</t>
  </si>
  <si>
    <t>kbindu9@gmail.com</t>
  </si>
  <si>
    <t>ZPHS Maheshwaram girls</t>
  </si>
  <si>
    <t>Krish Solanki</t>
  </si>
  <si>
    <t>I am student</t>
  </si>
  <si>
    <t>krishsolanki1908@gmail.com</t>
  </si>
  <si>
    <t>Krishna Bhimjiayni</t>
  </si>
  <si>
    <t>krishnabhimjiyani88@gmail.com</t>
  </si>
  <si>
    <t>Krishnan C</t>
  </si>
  <si>
    <t>Pattambi</t>
  </si>
  <si>
    <t>Kerala</t>
  </si>
  <si>
    <t>nil</t>
  </si>
  <si>
    <t>ckrishnan0492@gmail.com</t>
  </si>
  <si>
    <t>Kruti Shah</t>
  </si>
  <si>
    <t>OnlineEnglishCoach</t>
  </si>
  <si>
    <t>shah.kruti2014@gmail.com</t>
  </si>
  <si>
    <t>Kumar Muthiah</t>
  </si>
  <si>
    <t>Head public enterprise at Abu Dhabi commercial</t>
  </si>
  <si>
    <t>kumar.muthiah@gmail.com</t>
  </si>
  <si>
    <t>Lakshmi Matcha</t>
  </si>
  <si>
    <t>ProjectManager</t>
  </si>
  <si>
    <t>vm001039932@techmahindra.com</t>
  </si>
  <si>
    <t>Lakshmi Priya S</t>
  </si>
  <si>
    <t>slakshmi1507@gmail.com</t>
  </si>
  <si>
    <t>LakshmiPujitha Dama</t>
  </si>
  <si>
    <t>SoftwareTestEngineer</t>
  </si>
  <si>
    <t>ld00766294@techmahindra.com</t>
  </si>
  <si>
    <t>Lok Prakash Raju Goli</t>
  </si>
  <si>
    <t>lokraju.goli@ltts.com</t>
  </si>
  <si>
    <t>Maanasa Vemuri</t>
  </si>
  <si>
    <t>nasa31vemuri@gmail.com</t>
  </si>
  <si>
    <t>machavolu chatura</t>
  </si>
  <si>
    <t>mchaturi@gmail.com</t>
  </si>
  <si>
    <t>Madhumita Mohan</t>
  </si>
  <si>
    <t>Thiruvananthapuram</t>
  </si>
  <si>
    <t>madhumitamohan131@gmail.com</t>
  </si>
  <si>
    <t>Mahananda Reddy</t>
  </si>
  <si>
    <t>mahananda-reddy@hpe.com</t>
  </si>
  <si>
    <t>Mahendran Sathiyamoorthi</t>
  </si>
  <si>
    <t>AssociateConsultant</t>
  </si>
  <si>
    <t>mahendran.s@cgi.com</t>
  </si>
  <si>
    <t>GHS Pidariseri</t>
  </si>
  <si>
    <t>Mahendranatha Reddy</t>
  </si>
  <si>
    <t>Corporate - ANZ</t>
  </si>
  <si>
    <t>ResearchAnalyst</t>
  </si>
  <si>
    <t>a.m.reddy440@gmail.com</t>
  </si>
  <si>
    <t>Manasa Banashankari</t>
  </si>
  <si>
    <t>Belgaum</t>
  </si>
  <si>
    <t>Data engineer</t>
  </si>
  <si>
    <t>manasabanashankari1729@gmail.com</t>
  </si>
  <si>
    <t>Manasa Kotamreddy</t>
  </si>
  <si>
    <t>Nellore</t>
  </si>
  <si>
    <t>Freelancer</t>
  </si>
  <si>
    <t>Kotamreddy76@gmail.com</t>
  </si>
  <si>
    <t>Manish Bhatt</t>
  </si>
  <si>
    <t>Running my own institute</t>
  </si>
  <si>
    <t>manishakshar@rediffmail.com</t>
  </si>
  <si>
    <t>Maria Bhunia</t>
  </si>
  <si>
    <t>Tamluk</t>
  </si>
  <si>
    <t>Freelance tutor</t>
  </si>
  <si>
    <t>mariabhunia.103@gmail.com</t>
  </si>
  <si>
    <t>Mary Jose</t>
  </si>
  <si>
    <t>Thane</t>
  </si>
  <si>
    <t>homemaker</t>
  </si>
  <si>
    <t>maryjose@gmail.com</t>
  </si>
  <si>
    <t>GHS Kalkurichi</t>
  </si>
  <si>
    <t>MD Asghar</t>
  </si>
  <si>
    <t>ExpertEngg</t>
  </si>
  <si>
    <t>asghar.md@gmail.com</t>
  </si>
  <si>
    <t>Meena UV</t>
  </si>
  <si>
    <t>Project Lead</t>
  </si>
  <si>
    <t>meena_uv@infosys.com</t>
  </si>
  <si>
    <t>MEET Desai</t>
  </si>
  <si>
    <t>PHYSIOTHERAPIST</t>
  </si>
  <si>
    <t>meetpt193@gmail.com</t>
  </si>
  <si>
    <t>Megha Danech</t>
  </si>
  <si>
    <t>Apex</t>
  </si>
  <si>
    <t>North Carolina</t>
  </si>
  <si>
    <t>megha.danech@gmail.com</t>
  </si>
  <si>
    <t>Meghana Mehta</t>
  </si>
  <si>
    <t>meghnam6@gmail.com</t>
  </si>
  <si>
    <t>MINU BEGUM</t>
  </si>
  <si>
    <t>Mangaldai</t>
  </si>
  <si>
    <t>pubmangaldaieclassroom1@evidyaloka.org</t>
  </si>
  <si>
    <t>Mitali Dafda</t>
  </si>
  <si>
    <t>dafdamitali7@gmail.com</t>
  </si>
  <si>
    <t>29/07/25</t>
  </si>
  <si>
    <t>Mohan Mullagiri</t>
  </si>
  <si>
    <t>SeniorManager</t>
  </si>
  <si>
    <t>mohan.mullagiri@hpe.com</t>
  </si>
  <si>
    <t>MPUPS Tekulapalem</t>
  </si>
  <si>
    <t>CHITTOOR</t>
  </si>
  <si>
    <t>Mohit Anand</t>
  </si>
  <si>
    <t>Google</t>
  </si>
  <si>
    <t>SDE</t>
  </si>
  <si>
    <t>anandmohit852@gmail.com</t>
  </si>
  <si>
    <t>MohithSagar Debariki</t>
  </si>
  <si>
    <t>mohithdebariki@gmail.com</t>
  </si>
  <si>
    <t>Ms Sharmila</t>
  </si>
  <si>
    <t>DCP Campaign</t>
  </si>
  <si>
    <t>tutor</t>
  </si>
  <si>
    <t>tanmaykanse145@gmail.com</t>
  </si>
  <si>
    <t>15/12/25</t>
  </si>
  <si>
    <t>MUTHESHWARI S</t>
  </si>
  <si>
    <t>TEACHER</t>
  </si>
  <si>
    <t>mallasandra.eclassroom.1@evidyaloka.org</t>
  </si>
  <si>
    <t>Muvvala Abhishek</t>
  </si>
  <si>
    <t>PWC Chennai</t>
  </si>
  <si>
    <t>Guntur</t>
  </si>
  <si>
    <t>muvvalaabhishake@gmail.com</t>
  </si>
  <si>
    <t>Mythily Rajakumar</t>
  </si>
  <si>
    <t>Self-employed</t>
  </si>
  <si>
    <t>mythily1407@gmail.com</t>
  </si>
  <si>
    <t>NagaBrahmam Lankinapalli</t>
  </si>
  <si>
    <t>Mindtree</t>
  </si>
  <si>
    <t>nagabrahmamlankinapalli34560@gmail.com</t>
  </si>
  <si>
    <t>NagaPavankumar V</t>
  </si>
  <si>
    <t>pavan482@gmail.com</t>
  </si>
  <si>
    <t>NagendraBabu Mandala</t>
  </si>
  <si>
    <t>Anantapur</t>
  </si>
  <si>
    <t>mnbabu41@gmail.com</t>
  </si>
  <si>
    <t>Nalina Sivakumar</t>
  </si>
  <si>
    <t>Community and Social Service</t>
  </si>
  <si>
    <t>nalinasiva17@gmail.com</t>
  </si>
  <si>
    <t>Naman Gupta</t>
  </si>
  <si>
    <t>DataEngineer</t>
  </si>
  <si>
    <t>naman.gupta08@gmail.com</t>
  </si>
  <si>
    <t>Nandhini Anand</t>
  </si>
  <si>
    <t>anand.nandhini@yahoo.com</t>
  </si>
  <si>
    <t>GHS Pillayarkulam</t>
  </si>
  <si>
    <t>Nandita Kakati</t>
  </si>
  <si>
    <t>batardrava.eclassroom.1@evidyaloka.org</t>
  </si>
  <si>
    <t>Nandita Tiwari</t>
  </si>
  <si>
    <t>nanditati1109@gmail.com</t>
  </si>
  <si>
    <t>Nani Boruah</t>
  </si>
  <si>
    <t>pachchim-kaliabor.eclassroom.1@evidyaloka.org</t>
  </si>
  <si>
    <t>Nataraj VR</t>
  </si>
  <si>
    <t>Community Outreach</t>
  </si>
  <si>
    <t>Socialservice</t>
  </si>
  <si>
    <t>vrnataraj2019@gmail.com</t>
  </si>
  <si>
    <t>GHPS Mandihal</t>
  </si>
  <si>
    <t>DHARWAD</t>
  </si>
  <si>
    <t>Fidelity Investments</t>
  </si>
  <si>
    <t>DSERT</t>
  </si>
  <si>
    <t>NATASHA PALIWAL</t>
  </si>
  <si>
    <t>Bhopal</t>
  </si>
  <si>
    <t>CAT 2026 Aspirant</t>
  </si>
  <si>
    <t>natashapaliwal5896@gmail.com</t>
  </si>
  <si>
    <t>NAVJOT KAUR</t>
  </si>
  <si>
    <t>Bathinda</t>
  </si>
  <si>
    <t>navv396@gmail.com</t>
  </si>
  <si>
    <t>Neeraj Kumar</t>
  </si>
  <si>
    <t>WisdomCircle</t>
  </si>
  <si>
    <t>neeraj177@rediffmail.com</t>
  </si>
  <si>
    <t>28/06/25</t>
  </si>
  <si>
    <t>Neeraja Shetty</t>
  </si>
  <si>
    <t>retired</t>
  </si>
  <si>
    <t>neeraja.shetty67@gmail.com</t>
  </si>
  <si>
    <t>Neha Gupta</t>
  </si>
  <si>
    <t>Jorhat</t>
  </si>
  <si>
    <t>Statecoordinator</t>
  </si>
  <si>
    <t>neha.gupta@evidyaloka.org</t>
  </si>
  <si>
    <t>Neha SS</t>
  </si>
  <si>
    <t>coordinator</t>
  </si>
  <si>
    <t>neha.gowda@evidyaloka.org</t>
  </si>
  <si>
    <t>Nidhi Tiwari</t>
  </si>
  <si>
    <t>Udaan Welfare Foundation</t>
  </si>
  <si>
    <t>uwfnokia1@udaanwelfare.org</t>
  </si>
  <si>
    <t>24/11/25</t>
  </si>
  <si>
    <t>Niharika Goel</t>
  </si>
  <si>
    <t>Tutor</t>
  </si>
  <si>
    <t>niharikagoel098@gmail.com</t>
  </si>
  <si>
    <t>Nikhil Malali</t>
  </si>
  <si>
    <t>nikhil.malali@siom.in</t>
  </si>
  <si>
    <t>18/03/26</t>
  </si>
  <si>
    <t>Nisha Sharma</t>
  </si>
  <si>
    <t>Rohtak</t>
  </si>
  <si>
    <t>teacher</t>
  </si>
  <si>
    <t>nishasharma051988@gmail.com</t>
  </si>
  <si>
    <t>Nishant Singh</t>
  </si>
  <si>
    <t>Nishantsingh5@kpmg.com</t>
  </si>
  <si>
    <t>Nitin Jain</t>
  </si>
  <si>
    <t>SRE</t>
  </si>
  <si>
    <t>ext.nijain@cma-cgm.com</t>
  </si>
  <si>
    <t>Nityanand Channur</t>
  </si>
  <si>
    <t>Byadgi</t>
  </si>
  <si>
    <t>PD</t>
  </si>
  <si>
    <t>cnityanand@gmail.com</t>
  </si>
  <si>
    <t>GHPS AVALAGURKI</t>
  </si>
  <si>
    <t>Noel Pramila</t>
  </si>
  <si>
    <t>noel.pramila@infosys.com</t>
  </si>
  <si>
    <t>Nukapeyyi Jayasree</t>
  </si>
  <si>
    <t>AssociateSoftwareEngineer</t>
  </si>
  <si>
    <t>NJ001069868@techmahindra.com</t>
  </si>
  <si>
    <t>Nupur Dongariya</t>
  </si>
  <si>
    <t>Indore</t>
  </si>
  <si>
    <t>engineeringprofessor</t>
  </si>
  <si>
    <t>nupur.dongariya@gmail.com</t>
  </si>
  <si>
    <t>NUR NAHAR</t>
  </si>
  <si>
    <t>goroimari.eclassroom.1@evidyaloka.org</t>
  </si>
  <si>
    <t>OMPRAKASH SINGH</t>
  </si>
  <si>
    <t>Ghazipur</t>
  </si>
  <si>
    <t>STUDENT</t>
  </si>
  <si>
    <t>happysingh0947@gmail.com</t>
  </si>
  <si>
    <t>PADHMALATHA SV</t>
  </si>
  <si>
    <t>Director</t>
  </si>
  <si>
    <t>cootamraman1009@gmail.com</t>
  </si>
  <si>
    <t>Palak Trivedi</t>
  </si>
  <si>
    <t>palaktrivedi1984@gmail.com</t>
  </si>
  <si>
    <t>Pallavai Achar</t>
  </si>
  <si>
    <t>pallavi_achar2006@yahoo.com</t>
  </si>
  <si>
    <t>Pankti Trivedi</t>
  </si>
  <si>
    <t>Senior Accountant</t>
  </si>
  <si>
    <t>panktitrivedi.5555@gmail.com</t>
  </si>
  <si>
    <t>Param Patel</t>
  </si>
  <si>
    <t>dropper</t>
  </si>
  <si>
    <t>helloparam12@gmail.com</t>
  </si>
  <si>
    <t>Paramjeet Kaur</t>
  </si>
  <si>
    <t>paramjeetkaur4326@gmail.com</t>
  </si>
  <si>
    <t>Pardhu Polisetti</t>
  </si>
  <si>
    <t>Bhattiprolu</t>
  </si>
  <si>
    <t>founder</t>
  </si>
  <si>
    <t>polisettipardhu27@gmail.com</t>
  </si>
  <si>
    <t>Parimala chumburu</t>
  </si>
  <si>
    <t>Visakhapatnam</t>
  </si>
  <si>
    <t>parimalaeswari888@gmail.com</t>
  </si>
  <si>
    <t>payal desai</t>
  </si>
  <si>
    <t>Bankstown</t>
  </si>
  <si>
    <t>Australia</t>
  </si>
  <si>
    <t>healthassessor</t>
  </si>
  <si>
    <t>payaldesai2015@gmail.com</t>
  </si>
  <si>
    <t>Pooja Agarwal</t>
  </si>
  <si>
    <t>Dentist</t>
  </si>
  <si>
    <t>poojaagarwal9866@gmail.com</t>
  </si>
  <si>
    <t>Pooja Singh</t>
  </si>
  <si>
    <t>employee</t>
  </si>
  <si>
    <t>singhpoojacbe1@gmail.com</t>
  </si>
  <si>
    <t>PraisyGraceJemema D</t>
  </si>
  <si>
    <t>HP India</t>
  </si>
  <si>
    <t>Sales Analyst</t>
  </si>
  <si>
    <t>praisy-grace-jemema.d@hp.com</t>
  </si>
  <si>
    <t>GHS Mudukankulam</t>
  </si>
  <si>
    <t>Prakash Gupta</t>
  </si>
  <si>
    <t>prakash.25gupta@gmail.com</t>
  </si>
  <si>
    <t>Prakhar Kulshrestha</t>
  </si>
  <si>
    <t>Agra</t>
  </si>
  <si>
    <t>TechnologyAnalyst</t>
  </si>
  <si>
    <t>prakhar.kulshrestha@infosys.com</t>
  </si>
  <si>
    <t>Prashastini N</t>
  </si>
  <si>
    <t>Gadag</t>
  </si>
  <si>
    <t>prashastinin@gmail.com</t>
  </si>
  <si>
    <t>Prathiksha Muthukumar</t>
  </si>
  <si>
    <t>Salem</t>
  </si>
  <si>
    <t>legal</t>
  </si>
  <si>
    <t>Lawyer</t>
  </si>
  <si>
    <t>prathikshamuthukumar27@gmail.com</t>
  </si>
  <si>
    <t>Prathima Srinivas</t>
  </si>
  <si>
    <t>sprathima17@hotmail.com</t>
  </si>
  <si>
    <t>GHS Bannimukkodlu</t>
  </si>
  <si>
    <t>Pravallika Chandika</t>
  </si>
  <si>
    <t>Vijayawada</t>
  </si>
  <si>
    <t>unemployed</t>
  </si>
  <si>
    <t>chandikapravallika@gmail.com</t>
  </si>
  <si>
    <t>Preeti Routray</t>
  </si>
  <si>
    <t>Faridabad</t>
  </si>
  <si>
    <t>preetiroutray@gmail.com</t>
  </si>
  <si>
    <t>17/09/25</t>
  </si>
  <si>
    <t>PREM KARTHIKEYAN</t>
  </si>
  <si>
    <t>Tirunelveli</t>
  </si>
  <si>
    <t>SENIORASSOCIATECONSULTANT</t>
  </si>
  <si>
    <t>premkumar.k01@infosys.com</t>
  </si>
  <si>
    <t>13/11/25</t>
  </si>
  <si>
    <t>Premsheela Pandey</t>
  </si>
  <si>
    <t>ProductManager</t>
  </si>
  <si>
    <t>premsheela_pandey@infosys.com</t>
  </si>
  <si>
    <t>Priya Khanna</t>
  </si>
  <si>
    <t>Doha</t>
  </si>
  <si>
    <t>Qatar</t>
  </si>
  <si>
    <t>priya_k123in@yahoo.co.in</t>
  </si>
  <si>
    <t>Purna Tejaswi</t>
  </si>
  <si>
    <t>purnatejaswi.2001@gmail.com</t>
  </si>
  <si>
    <t>Queenslin Jebaraj</t>
  </si>
  <si>
    <t>DataAnalyst</t>
  </si>
  <si>
    <t>queenslin@gmail.com</t>
  </si>
  <si>
    <t>Rachana Mehta</t>
  </si>
  <si>
    <t>Bharuch</t>
  </si>
  <si>
    <t>Balancing home and work</t>
  </si>
  <si>
    <t>rachanarmehta@yahoo.com</t>
  </si>
  <si>
    <t>Radha Gangadhar</t>
  </si>
  <si>
    <t>radhasusarla@gmail.com</t>
  </si>
  <si>
    <t>Radhika Sambhus</t>
  </si>
  <si>
    <t>No</t>
  </si>
  <si>
    <t>radhika.sambhus@gmail.com</t>
  </si>
  <si>
    <t>Rahul Dam</t>
  </si>
  <si>
    <t>rahuldam24@gmail.com</t>
  </si>
  <si>
    <t>Rajat Kumar</t>
  </si>
  <si>
    <t>Sirsa</t>
  </si>
  <si>
    <t>BDA</t>
  </si>
  <si>
    <t>mehtarajat9688@gmail.com</t>
  </si>
  <si>
    <t>RAJNATH AADARSH</t>
  </si>
  <si>
    <t>aadarshrajnath@gmail.com</t>
  </si>
  <si>
    <t>Rajshekar Sadasivan</t>
  </si>
  <si>
    <t>DeliveryHead</t>
  </si>
  <si>
    <t>rs0039666@techmahindra.com</t>
  </si>
  <si>
    <t>Rajvi Shah</t>
  </si>
  <si>
    <t>Mira Bhayandar</t>
  </si>
  <si>
    <t>Business analyst</t>
  </si>
  <si>
    <t>rajvijshah0@gmail.com</t>
  </si>
  <si>
    <t>Ramneek Singh</t>
  </si>
  <si>
    <t>singhramneek2005@gmail.com</t>
  </si>
  <si>
    <t>RAMYA D R</t>
  </si>
  <si>
    <t>Hosur</t>
  </si>
  <si>
    <t>HOMEMAKER</t>
  </si>
  <si>
    <t>ramyasanthi01@gmail.com</t>
  </si>
  <si>
    <t>GHS Naloor</t>
  </si>
  <si>
    <t>Ramya R</t>
  </si>
  <si>
    <t>ramyart920@gmail.com</t>
  </si>
  <si>
    <t>Ranjani Bhat</t>
  </si>
  <si>
    <t>EY GDS</t>
  </si>
  <si>
    <t>SeniormanageratEY</t>
  </si>
  <si>
    <t>ranjanibhat@gmail.com</t>
  </si>
  <si>
    <t>17/03/26</t>
  </si>
  <si>
    <t>Ranjani Padmanabhan</t>
  </si>
  <si>
    <t>Salesforce</t>
  </si>
  <si>
    <t>Senior engineer</t>
  </si>
  <si>
    <t>ranjani.padmanabhan@salesforce.com</t>
  </si>
  <si>
    <t>Ranjith Srinivasan</t>
  </si>
  <si>
    <t>Arakonam</t>
  </si>
  <si>
    <t>ranjithsrinivasan11@gmail.com</t>
  </si>
  <si>
    <t>Ranjitha Prakash</t>
  </si>
  <si>
    <t>ranjitha.prakash@infosys.com</t>
  </si>
  <si>
    <t>Rashmi Girish</t>
  </si>
  <si>
    <t>rashmirsonu@gmail.com</t>
  </si>
  <si>
    <t>Ravichandran R</t>
  </si>
  <si>
    <t>Krishnarajapura</t>
  </si>
  <si>
    <t>ravi.chandran@cognizant.com</t>
  </si>
  <si>
    <t>Ravikumar Srinivasan</t>
  </si>
  <si>
    <t>Tata Steel Foundation</t>
  </si>
  <si>
    <t>Sales and Related</t>
  </si>
  <si>
    <t>tripravi@gmail.com</t>
  </si>
  <si>
    <t>Renuka Koujalagi</t>
  </si>
  <si>
    <t>Renuka.koujalagi@gmail.com</t>
  </si>
  <si>
    <t>Rhishi Nema</t>
  </si>
  <si>
    <t>Milford</t>
  </si>
  <si>
    <t>Connecticut</t>
  </si>
  <si>
    <t>SeniorSoftwareEngineer</t>
  </si>
  <si>
    <t>rhishi.nema@gmail.com</t>
  </si>
  <si>
    <t>Richa Gupta</t>
  </si>
  <si>
    <t>DesignLead</t>
  </si>
  <si>
    <t>ric848@gmail.com</t>
  </si>
  <si>
    <t>Rini Jose</t>
  </si>
  <si>
    <t>rini.jose@evidyaloka.org</t>
  </si>
  <si>
    <t>Ritu Loura</t>
  </si>
  <si>
    <t>Hisar</t>
  </si>
  <si>
    <t>rituloura696@gmail.com</t>
  </si>
  <si>
    <t>Ritu Patel</t>
  </si>
  <si>
    <t>Seattle</t>
  </si>
  <si>
    <t>ritup2054@gmail.com</t>
  </si>
  <si>
    <t>Riya Dubey</t>
  </si>
  <si>
    <t>Academic Associate</t>
  </si>
  <si>
    <t>riya.dubey1197@gmail.com</t>
  </si>
  <si>
    <t>Riya Sharma</t>
  </si>
  <si>
    <t>riya72146@gmail.com</t>
  </si>
  <si>
    <t>Ruchi Agg</t>
  </si>
  <si>
    <t>Controller</t>
  </si>
  <si>
    <t>ruchi1.agg@gmail.com</t>
  </si>
  <si>
    <t>Ruchika Marwaha</t>
  </si>
  <si>
    <t>Jalandhar</t>
  </si>
  <si>
    <t>ruchika.marwaha@pwc.com</t>
  </si>
  <si>
    <t>Rudra Chandak</t>
  </si>
  <si>
    <t>rudrachamanlal.c@infosys.com</t>
  </si>
  <si>
    <t>Rukshana Parbin</t>
  </si>
  <si>
    <t>bechimari.eclassroom.1@evidyaloka.org</t>
  </si>
  <si>
    <t>S Ratnamala</t>
  </si>
  <si>
    <t>House wife</t>
  </si>
  <si>
    <t>ratnamala.srikakolapu@gmail.com</t>
  </si>
  <si>
    <t>Sachin Athreya</t>
  </si>
  <si>
    <t>sachin_athreya@infosys.com</t>
  </si>
  <si>
    <t>Sagar Patel</t>
  </si>
  <si>
    <t>Patel.Sagarkumar@ltts.com</t>
  </si>
  <si>
    <t>Sai Ganesh</t>
  </si>
  <si>
    <t>Mohali</t>
  </si>
  <si>
    <t>pallavenkatsaiganesh@gmail.com</t>
  </si>
  <si>
    <t>Saieesha K</t>
  </si>
  <si>
    <t>MBBS</t>
  </si>
  <si>
    <t>sir1971july@gmail.com</t>
  </si>
  <si>
    <t>Sailaja Radhakrishna</t>
  </si>
  <si>
    <t>sailaja_susarla06@yahoo.com</t>
  </si>
  <si>
    <t>SaiSirisha Seera</t>
  </si>
  <si>
    <t>seerasaisirisha@gmail.com</t>
  </si>
  <si>
    <t>APSB</t>
  </si>
  <si>
    <t>Samarth Savalia</t>
  </si>
  <si>
    <t>Mechanical</t>
  </si>
  <si>
    <t>samarthpatel57@gmail.com</t>
  </si>
  <si>
    <t>Samrudhi Harne</t>
  </si>
  <si>
    <t>samrudhiharne002@gmail.com</t>
  </si>
  <si>
    <t>Samyak Jhanjhari</t>
  </si>
  <si>
    <t>samyak.24bcs10311@sst.scaler.com</t>
  </si>
  <si>
    <t>Sandeepanee Joshi</t>
  </si>
  <si>
    <t>Junagadh</t>
  </si>
  <si>
    <t>MBA entrance exam</t>
  </si>
  <si>
    <t>joshisandeepanee@gmail.com</t>
  </si>
  <si>
    <t>Sandhya Jogiya</t>
  </si>
  <si>
    <t>researcher</t>
  </si>
  <si>
    <t>sandhyajogiya@gmail.com</t>
  </si>
  <si>
    <t>Sanika Wankhade</t>
  </si>
  <si>
    <t>sanikawankhade05@gmail.com</t>
  </si>
  <si>
    <t>SanjayKumar Vadde</t>
  </si>
  <si>
    <t>Data en6</t>
  </si>
  <si>
    <t>sanjuvadde1111@gmail.com</t>
  </si>
  <si>
    <t>Saranya Palanisamy</t>
  </si>
  <si>
    <t>Tiruchengode</t>
  </si>
  <si>
    <t>saranya.palanisamy@techmahindra.com</t>
  </si>
  <si>
    <t>Saravanakumar N</t>
  </si>
  <si>
    <t>saravana.nallasivan@infosys.com</t>
  </si>
  <si>
    <t>SARAVANAN gSeva.org</t>
  </si>
  <si>
    <t>Tirupattur</t>
  </si>
  <si>
    <t>organizer</t>
  </si>
  <si>
    <t>saran2sai@gmail.com</t>
  </si>
  <si>
    <t>SatyaSai Prabhakar</t>
  </si>
  <si>
    <t>Ghatkesar</t>
  </si>
  <si>
    <t>satyasaiprabhakar.c@infosys.com</t>
  </si>
  <si>
    <t>Saurabh Dev</t>
  </si>
  <si>
    <t>SearchingJOB</t>
  </si>
  <si>
    <t>deosaurabh4@gmail.com</t>
  </si>
  <si>
    <t>Sayak Chaudhuri</t>
  </si>
  <si>
    <t>Warangal</t>
  </si>
  <si>
    <t>chdsayak@gmail.com</t>
  </si>
  <si>
    <t>SHABANA AZMI</t>
  </si>
  <si>
    <t>juria.eclassroom.1@evidyaloka.org</t>
  </si>
  <si>
    <t>Shabnam Barwal</t>
  </si>
  <si>
    <t>Palampur</t>
  </si>
  <si>
    <t>Himachal Pradesh</t>
  </si>
  <si>
    <t>Self Employed</t>
  </si>
  <si>
    <t>barwalshabnam@gmail.com</t>
  </si>
  <si>
    <t>Shamima Nasrin</t>
  </si>
  <si>
    <t>Guwahati</t>
  </si>
  <si>
    <t>dalgaon-sialmari.eclassroom.1@evidyaloka.org</t>
  </si>
  <si>
    <t>Sharath MG</t>
  </si>
  <si>
    <t>SoftwareArchitect</t>
  </si>
  <si>
    <t>sharathmg6@gmail.com</t>
  </si>
  <si>
    <t>Shikha Baishya</t>
  </si>
  <si>
    <t>shikhabaishya099@gmail.com</t>
  </si>
  <si>
    <t>Shivali Yadav</t>
  </si>
  <si>
    <t>Allahabad</t>
  </si>
  <si>
    <t>Tution Teacher</t>
  </si>
  <si>
    <t>Shivaliyadav06@gmail.com</t>
  </si>
  <si>
    <t>Shoba Iyengar</t>
  </si>
  <si>
    <t>shoba.vasudevan@gmail.com</t>
  </si>
  <si>
    <t>SHRAVYA N</t>
  </si>
  <si>
    <t>Hospet</t>
  </si>
  <si>
    <t>I'm a student</t>
  </si>
  <si>
    <t>shravya20004@gmail.com</t>
  </si>
  <si>
    <t>Shriharil CP</t>
  </si>
  <si>
    <t>Thrissur</t>
  </si>
  <si>
    <t>Senior web lead</t>
  </si>
  <si>
    <t>hariljith@gmail.com</t>
  </si>
  <si>
    <t>Shriraksha J</t>
  </si>
  <si>
    <t>software</t>
  </si>
  <si>
    <t>shrirakshabhat97@gmail.com</t>
  </si>
  <si>
    <t>Shubh Raj Gupta</t>
  </si>
  <si>
    <t>Bhilai</t>
  </si>
  <si>
    <t>Chhattisgarh</t>
  </si>
  <si>
    <t>shubhrajgupta.1@gmail.com</t>
  </si>
  <si>
    <t>Shweta Bodawar</t>
  </si>
  <si>
    <t>Mysore</t>
  </si>
  <si>
    <t>AssociateEngineer</t>
  </si>
  <si>
    <t>Shweta.Bodawar@ltts.com</t>
  </si>
  <si>
    <t>ZPPS Pimpaldari</t>
  </si>
  <si>
    <t>shwetha H</t>
  </si>
  <si>
    <t>Haliyal</t>
  </si>
  <si>
    <t>FRESHER</t>
  </si>
  <si>
    <t>kudlamathsh.1014@gmail.com</t>
  </si>
  <si>
    <t>Siddham Jain</t>
  </si>
  <si>
    <t>siddham.23bcs10103@sst.scaler.com</t>
  </si>
  <si>
    <t>Siddhi Patel</t>
  </si>
  <si>
    <t>siddhipatel035@gmail.com</t>
  </si>
  <si>
    <t>Siddhi Sandbhor</t>
  </si>
  <si>
    <t>Rajgurunagar</t>
  </si>
  <si>
    <t>Dataanalyst</t>
  </si>
  <si>
    <t>siddhisandbhor@gmail.com</t>
  </si>
  <si>
    <t>Sirisha Kalva</t>
  </si>
  <si>
    <t>Chipurupalle</t>
  </si>
  <si>
    <t>sirishakalva.n@gmail.com</t>
  </si>
  <si>
    <t>Somasundaram S</t>
  </si>
  <si>
    <t>Uthiramerur</t>
  </si>
  <si>
    <t>Associate Consultant at Infosys</t>
  </si>
  <si>
    <t>somasundaram.s02@infosys.com</t>
  </si>
  <si>
    <t>Sonali Kulkarni</t>
  </si>
  <si>
    <t>Home maker</t>
  </si>
  <si>
    <t>sonalikulkarni1908@gmail.com</t>
  </si>
  <si>
    <t>Soujanya Shivram</t>
  </si>
  <si>
    <t>Fresh graduate of architecture</t>
  </si>
  <si>
    <t>soujanyashivram@gmail.com</t>
  </si>
  <si>
    <t>soumya Enugandula</t>
  </si>
  <si>
    <t>KPIT Technologies Ltd.</t>
  </si>
  <si>
    <t>soumyae@kpit.com</t>
  </si>
  <si>
    <t>Soumya ES</t>
  </si>
  <si>
    <t>soumyaes01@gmail.com</t>
  </si>
  <si>
    <t>Soumya P</t>
  </si>
  <si>
    <t>sowmya.p0417@gmail.com</t>
  </si>
  <si>
    <t>Inactive</t>
  </si>
  <si>
    <t>Sowmya Gowda</t>
  </si>
  <si>
    <t>soumyah.gowda@gmail.com</t>
  </si>
  <si>
    <t>Sowmya Mallikarjuna</t>
  </si>
  <si>
    <t>London</t>
  </si>
  <si>
    <t>United Kingdom</t>
  </si>
  <si>
    <t>Admin</t>
  </si>
  <si>
    <t>mallikarjunasowmya12@gmail.com</t>
  </si>
  <si>
    <t>Sowmyashree K</t>
  </si>
  <si>
    <t>Chickballapur</t>
  </si>
  <si>
    <t>Home</t>
  </si>
  <si>
    <t>sowmyashreejesus@gmail.com</t>
  </si>
  <si>
    <t>Sravani Gadiraju</t>
  </si>
  <si>
    <t>sravanigadiraju03@gmail.com</t>
  </si>
  <si>
    <t>SreeHari Anand</t>
  </si>
  <si>
    <t>sreeharianand29@gmail.com</t>
  </si>
  <si>
    <t>21/08/25</t>
  </si>
  <si>
    <t>Srilekha Malladi</t>
  </si>
  <si>
    <t>CRISIL Foundation</t>
  </si>
  <si>
    <t>Associate</t>
  </si>
  <si>
    <t>srilekha.malladi@gmail.com</t>
  </si>
  <si>
    <t>SrirakshaBN Raksha</t>
  </si>
  <si>
    <t>Mandya</t>
  </si>
  <si>
    <t>srirakshabn5@gmail.com</t>
  </si>
  <si>
    <t>SRIRAMAN NC</t>
  </si>
  <si>
    <t>ncsriraman@gmail.com</t>
  </si>
  <si>
    <t>Srivarshini Duddela</t>
  </si>
  <si>
    <t>varshiduddela@gmail.com</t>
  </si>
  <si>
    <t>Sruthi Kumarasekar</t>
  </si>
  <si>
    <t>associate consultant</t>
  </si>
  <si>
    <t>skssruthi09@gmail.com</t>
  </si>
  <si>
    <t>subashree satish</t>
  </si>
  <si>
    <t>FreelanceTeaching</t>
  </si>
  <si>
    <t>subashreesatish@yahoo.co.in</t>
  </si>
  <si>
    <t>24/12/25</t>
  </si>
  <si>
    <t>Sudheera Kakulavarapu</t>
  </si>
  <si>
    <t>sudheera2727@gmail.com</t>
  </si>
  <si>
    <t>Suhas B</t>
  </si>
  <si>
    <t>Uttarahalli</t>
  </si>
  <si>
    <t>Seniorexecutive</t>
  </si>
  <si>
    <t>suhasbraj1990@gmail.com</t>
  </si>
  <si>
    <t>Sumegha Nadkarni</t>
  </si>
  <si>
    <t>sumegha.nadkarni@gmail.com</t>
  </si>
  <si>
    <t>Suriya Raj</t>
  </si>
  <si>
    <t>suriyaraj.jaganathan.b@gmail.com</t>
  </si>
  <si>
    <t>Swapna Manjunath</t>
  </si>
  <si>
    <t>Ba</t>
  </si>
  <si>
    <t>swapna408@gmail.com</t>
  </si>
  <si>
    <t>Swathi S</t>
  </si>
  <si>
    <t>swathi.s49@infosys.com</t>
  </si>
  <si>
    <t>Swathi Venkatesan</t>
  </si>
  <si>
    <t>ACCENTURE</t>
  </si>
  <si>
    <t>HR</t>
  </si>
  <si>
    <t>swathi.c.venkatesan@accenture.com</t>
  </si>
  <si>
    <t>Tanay Shah</t>
  </si>
  <si>
    <t>ElasticRun</t>
  </si>
  <si>
    <t>tanay.g.shah@gmail.com</t>
  </si>
  <si>
    <t>Tanmay Zagade</t>
  </si>
  <si>
    <t>ResearchAssociate</t>
  </si>
  <si>
    <t>tanmayzagade@gmail.com</t>
  </si>
  <si>
    <t>Tanvvi Singh</t>
  </si>
  <si>
    <t>MarketingManager</t>
  </si>
  <si>
    <t>tanvinsingh1423@gmail.com</t>
  </si>
  <si>
    <t>Tejaswi Srikanta</t>
  </si>
  <si>
    <t>COnsultantCOntentteamEvidyaloka</t>
  </si>
  <si>
    <t>tejaskanta23@gmail.com</t>
  </si>
  <si>
    <t>THIRUMALA SWAPNASREE</t>
  </si>
  <si>
    <t>Nandyal</t>
  </si>
  <si>
    <t>Iampreparingforupsccivilservices</t>
  </si>
  <si>
    <t>swapnasreethirumala@gmail.com</t>
  </si>
  <si>
    <t>Thota prathima</t>
  </si>
  <si>
    <t>teaching</t>
  </si>
  <si>
    <t>t.prathima5@gmail.com</t>
  </si>
  <si>
    <t>Tithi Shah</t>
  </si>
  <si>
    <t>Engineering student</t>
  </si>
  <si>
    <t>13tithishah@gmail.com</t>
  </si>
  <si>
    <t>Reading Program</t>
  </si>
  <si>
    <t>UdayaAditya Sanagapalli</t>
  </si>
  <si>
    <t>AVP</t>
  </si>
  <si>
    <t>udayaaditya.ca@gmail.com</t>
  </si>
  <si>
    <t>Umadevi S</t>
  </si>
  <si>
    <t>srikantapura.eclassroom.1@evidyaloka.org</t>
  </si>
  <si>
    <t>UmaMaheswari Jayaraman</t>
  </si>
  <si>
    <t>freelanceteacher</t>
  </si>
  <si>
    <t>umamj14@gmail.com</t>
  </si>
  <si>
    <t>Urvi Patel</t>
  </si>
  <si>
    <t>National Instruments</t>
  </si>
  <si>
    <t>urvi.patel@emerson.com</t>
  </si>
  <si>
    <t>Urvi Vaishnav</t>
  </si>
  <si>
    <t>laadoo67@gmail.com</t>
  </si>
  <si>
    <t>Utsav Oza</t>
  </si>
  <si>
    <t>oza.utsav2710@gmail.com</t>
  </si>
  <si>
    <t>V V N V D Devi Mullapudi</t>
  </si>
  <si>
    <t>LeadBusisnessConsultant</t>
  </si>
  <si>
    <t>devimullapudi26@gmail.com</t>
  </si>
  <si>
    <t>Vaibhavi Tiwari</t>
  </si>
  <si>
    <t>vaibhavi.20ds@gmail.com</t>
  </si>
  <si>
    <t>Vasanta Kumae</t>
  </si>
  <si>
    <t>vasanthamanosh@gmail.com</t>
  </si>
  <si>
    <t>Vasanthalaksmi Ahilan</t>
  </si>
  <si>
    <t>vasantha.laksmi@ltts.com</t>
  </si>
  <si>
    <t>Venkata SM</t>
  </si>
  <si>
    <t>Solution Architect</t>
  </si>
  <si>
    <t>venkata.sm@cgi.com</t>
  </si>
  <si>
    <t>Venugopal Mudhaliar</t>
  </si>
  <si>
    <t>Firstsource</t>
  </si>
  <si>
    <t>Director- Risk and Compliance</t>
  </si>
  <si>
    <t>gopal.venugopal@gmail.com</t>
  </si>
  <si>
    <t>Vidhyalakshmi Kalaichelvan</t>
  </si>
  <si>
    <t>Actuary</t>
  </si>
  <si>
    <t>vidhya36@gmail.com</t>
  </si>
  <si>
    <t>Vimala Nagaraja</t>
  </si>
  <si>
    <t>vimala.nagesh@gmail.com</t>
  </si>
  <si>
    <t>Vinitha Vinitha</t>
  </si>
  <si>
    <t>joognahalli.ghs.eclassroom.2@evidyaloka.org</t>
  </si>
  <si>
    <t>VISHAL SHAH</t>
  </si>
  <si>
    <t>VishalK.Shah@ltts.com</t>
  </si>
  <si>
    <t>Viswajit Ghosh</t>
  </si>
  <si>
    <t>vishuji85@gmail.com</t>
  </si>
  <si>
    <t>Vyshnavi Kaluri</t>
  </si>
  <si>
    <t>Kakinada</t>
  </si>
  <si>
    <t>Working</t>
  </si>
  <si>
    <t>vyshnavikaluri2000@gmail.com</t>
  </si>
  <si>
    <t>Yashika Palanisamy</t>
  </si>
  <si>
    <t>fresher</t>
  </si>
  <si>
    <t>yashikapalanisamy0404@gmail.com</t>
  </si>
  <si>
    <t>Teacher_id</t>
  </si>
  <si>
    <t>Teacher_name</t>
  </si>
  <si>
    <t>E-mail</t>
  </si>
  <si>
    <t>Phone</t>
  </si>
  <si>
    <t>Assigned date</t>
  </si>
  <si>
    <t>Dropped date</t>
  </si>
  <si>
    <t>Dropped Offerings</t>
  </si>
  <si>
    <t>Dropped offering names</t>
  </si>
  <si>
    <t>Reasons</t>
  </si>
  <si>
    <t>Dropped Offering count</t>
  </si>
  <si>
    <t>Currently active offerings</t>
  </si>
  <si>
    <t>Volunteer_id</t>
  </si>
  <si>
    <t>Madhuja Saha</t>
  </si>
  <si>
    <t>mspeaceworld@gmail.com</t>
  </si>
  <si>
    <t>19/01/26 12:24</t>
  </si>
  <si>
    <t>28/03/26 0:00</t>
  </si>
  <si>
    <t>JHS Dumdumi-7-English</t>
  </si>
  <si>
    <t>Family issue</t>
  </si>
  <si>
    <t>Sayanti Chakraborty</t>
  </si>
  <si>
    <t>sayanti.chakraborty14@gmail.com</t>
  </si>
  <si>
    <t>19/01/26 12:56</t>
  </si>
  <si>
    <t>26/03/26 0:00</t>
  </si>
  <si>
    <t>HS Chakirban-7-English</t>
  </si>
  <si>
    <t>Higher studies/Preparing for exams</t>
  </si>
  <si>
    <t>Anushka Mukherjee</t>
  </si>
  <si>
    <t>anushka.mukherjee.suvra@gmail.com</t>
  </si>
  <si>
    <t>79782 18956</t>
  </si>
  <si>
    <t>19/01/26 12:50</t>
  </si>
  <si>
    <t>HS Chakirban-5-English</t>
  </si>
  <si>
    <t>Health issues</t>
  </si>
  <si>
    <t>GHPS Chikka Basavana Pura-6-English</t>
  </si>
  <si>
    <t>Work pressure</t>
  </si>
  <si>
    <t>Varun Kumar</t>
  </si>
  <si>
    <t>tasktest06@gmail.com</t>
  </si>
  <si>
    <t>24/02/26 17:20</t>
  </si>
  <si>
    <t>KGBV Jogiya-8-Guest Sessions</t>
  </si>
  <si>
    <t>No response from volunteer</t>
  </si>
  <si>
    <t>20/11/25 11:57</t>
  </si>
  <si>
    <t>Bhavpar Primary School-8-English</t>
  </si>
  <si>
    <t>Aditi Sharma</t>
  </si>
  <si>
    <t>aditi.sharma.24105@gmail.com</t>
  </si>
  <si>
    <t>24/02/26 17:41</t>
  </si>
  <si>
    <t>KGBV Keshraha-8-Guest Sessions</t>
  </si>
  <si>
    <t>Month</t>
  </si>
  <si>
    <t>Offering_status</t>
  </si>
  <si>
    <t>Updated_by</t>
  </si>
  <si>
    <t>id</t>
  </si>
  <si>
    <t>offering_id</t>
  </si>
  <si>
    <t>teacher_id</t>
  </si>
  <si>
    <t>created_date</t>
  </si>
  <si>
    <t>created_by_id</t>
  </si>
  <si>
    <t>updated_date</t>
  </si>
  <si>
    <t>updated_by_id</t>
  </si>
  <si>
    <t>booked_date</t>
  </si>
  <si>
    <t>dropped_category</t>
  </si>
  <si>
    <t>reject_reason</t>
  </si>
  <si>
    <t>orientation_date</t>
  </si>
  <si>
    <t>Reference Channel</t>
  </si>
  <si>
    <t>March</t>
  </si>
  <si>
    <t>Urmi Pal</t>
  </si>
  <si>
    <t>Urmi.palchoudhury@gmail.com</t>
  </si>
  <si>
    <t>JHS Petadih Hirakhep</t>
  </si>
  <si>
    <t>Admin 2</t>
  </si>
  <si>
    <t>Volunteer did not turn up for orientation</t>
  </si>
  <si>
    <t>Divyanshu Vadehra</t>
  </si>
  <si>
    <t>divyanshuvadehra100@gmail.com</t>
  </si>
  <si>
    <t>MS Patupur</t>
  </si>
  <si>
    <t>Timings could not be offered for the selected course in this center</t>
  </si>
  <si>
    <t>User ID</t>
  </si>
  <si>
    <t>User Name</t>
  </si>
  <si>
    <t>Date Joined</t>
  </si>
  <si>
    <t>Gender</t>
  </si>
  <si>
    <t>Country</t>
  </si>
  <si>
    <t>City</t>
  </si>
  <si>
    <t>Role</t>
  </si>
  <si>
    <t>Rujuta Dixit</t>
  </si>
  <si>
    <t>female</t>
  </si>
  <si>
    <t>dixitrujuta17@gmail.com</t>
  </si>
  <si>
    <t>Ladli Mishra</t>
  </si>
  <si>
    <t>ldlmshr160@gmail.com</t>
  </si>
  <si>
    <t>Bihar</t>
  </si>
  <si>
    <t>Madhubani</t>
  </si>
  <si>
    <t>Nilesh Gorai</t>
  </si>
  <si>
    <t>male</t>
  </si>
  <si>
    <t>nileshgorai97@gmail.com</t>
  </si>
  <si>
    <t>Jharkhand</t>
  </si>
  <si>
    <t>Jamshedpur</t>
  </si>
  <si>
    <t>KHUSHI SINGH</t>
  </si>
  <si>
    <t>khushisingh9755@gmail.com</t>
  </si>
  <si>
    <t>Jaya Jyoti</t>
  </si>
  <si>
    <t>jaya11jyoti@gmail.com</t>
  </si>
  <si>
    <t>Nitesh Tewatia</t>
  </si>
  <si>
    <t>ninichoudhary@gmail.com</t>
  </si>
  <si>
    <t>Anshu Kumari</t>
  </si>
  <si>
    <t>anshukumari24august2001@gmail.com</t>
  </si>
  <si>
    <t>Kottayam</t>
  </si>
  <si>
    <t>Ashima Sharma</t>
  </si>
  <si>
    <t>sharmaashi042002@gmail.com</t>
  </si>
  <si>
    <t>Prachi Sharma</t>
  </si>
  <si>
    <t>prachivashistghji@gmail.com</t>
  </si>
  <si>
    <t>Anjali Dubey</t>
  </si>
  <si>
    <t>dubeyanjali688jsr@gmail.com</t>
  </si>
  <si>
    <t>Zaara Shaik</t>
  </si>
  <si>
    <t>zaarashaik02@gmail.com</t>
  </si>
  <si>
    <t>New Jersey</t>
  </si>
  <si>
    <t>Edison</t>
  </si>
  <si>
    <t>Tanishka Gaikwad</t>
  </si>
  <si>
    <t>tanishka3029@gmail.com</t>
  </si>
  <si>
    <t>Shruti Dhasmana</t>
  </si>
  <si>
    <t>shrutijask23dhasmana@gmail.com</t>
  </si>
  <si>
    <t>Gampala Bhavana</t>
  </si>
  <si>
    <t>gampalabhavana013@gmail.com</t>
  </si>
  <si>
    <t>Joseph Augustine</t>
  </si>
  <si>
    <t>joseph@youtheconomylab.com</t>
  </si>
  <si>
    <t>Youth Economy Lab</t>
  </si>
  <si>
    <t>Ankit SinghaRoy</t>
  </si>
  <si>
    <t>ankitsingharoy19@gmail.com</t>
  </si>
  <si>
    <t>Purba Medinipur</t>
  </si>
  <si>
    <t>Nivanshika Jha</t>
  </si>
  <si>
    <t>nivanshika@gmail.com</t>
  </si>
  <si>
    <t>0900 841 9882</t>
  </si>
  <si>
    <t>Rashmi Swamy</t>
  </si>
  <si>
    <t>rashmichengavi@gmail.com</t>
  </si>
  <si>
    <t>SE Srivastava</t>
  </si>
  <si>
    <t>ashish802@msn.com</t>
  </si>
  <si>
    <t>Sahibpreet Kaur</t>
  </si>
  <si>
    <t>sahibpreetk16@gmail.com</t>
  </si>
  <si>
    <t>Chandrasekhar Vadde</t>
  </si>
  <si>
    <t>vaddechandra6079@gmail.com</t>
  </si>
  <si>
    <t>Adoni</t>
  </si>
  <si>
    <t>Vinamra Kishore</t>
  </si>
  <si>
    <t>kishorevinamra2007@gmail.com</t>
  </si>
  <si>
    <t>Shreya PR</t>
  </si>
  <si>
    <t>shreya.pr1209@gmail.com</t>
  </si>
  <si>
    <t>Deekshith Vemana</t>
  </si>
  <si>
    <t>deekshithvemana@gmail.com</t>
  </si>
  <si>
    <t>Sushant U</t>
  </si>
  <si>
    <t>sushantupakari@gmail.com</t>
  </si>
  <si>
    <t>Anjali Vishwakarma</t>
  </si>
  <si>
    <t>vish221401anjali@gmail.com</t>
  </si>
  <si>
    <t>Bhadohi</t>
  </si>
  <si>
    <t>Jatin Bountra</t>
  </si>
  <si>
    <t>jatin.bountra@gmail.com</t>
  </si>
  <si>
    <t>Nitin Benakatti</t>
  </si>
  <si>
    <t>nitingb961@gmail.com</t>
  </si>
  <si>
    <t>Karwar</t>
  </si>
  <si>
    <t>Urvi Yadav</t>
  </si>
  <si>
    <t>yadavurvi654@gmail.com</t>
  </si>
  <si>
    <t>Latur</t>
  </si>
  <si>
    <t>Pooja Mithari</t>
  </si>
  <si>
    <t>pooja15295@gmail.com</t>
  </si>
  <si>
    <t>Netherlands The</t>
  </si>
  <si>
    <t>Flevoland</t>
  </si>
  <si>
    <t>Almere</t>
  </si>
  <si>
    <t>Niharika Dubey</t>
  </si>
  <si>
    <t>niharikadubey647@gmail.com</t>
  </si>
  <si>
    <t>VenkataVivek Gudapati</t>
  </si>
  <si>
    <t>venkatavivek.gudapati@gmail.com</t>
  </si>
  <si>
    <t>Illinois</t>
  </si>
  <si>
    <t>Chicago</t>
  </si>
  <si>
    <t>PrajnaSri Jagatha</t>
  </si>
  <si>
    <t>prajnasrijagatha@gmail.com</t>
  </si>
  <si>
    <t>Amalapuram</t>
  </si>
  <si>
    <t>Samadhan Humbe</t>
  </si>
  <si>
    <t>samadhan0018@gmail.com</t>
  </si>
  <si>
    <t>Bhum</t>
  </si>
  <si>
    <t>Ajith E</t>
  </si>
  <si>
    <t>ultiajithkumareg@gmail.com</t>
  </si>
  <si>
    <t>Matam Vaishnavi</t>
  </si>
  <si>
    <t>mvaishnavi2000@gmail.com</t>
  </si>
  <si>
    <t>Afifa Khanam</t>
  </si>
  <si>
    <t>akhanum1122@gmail.com</t>
  </si>
  <si>
    <t>Gayathri M</t>
  </si>
  <si>
    <t>gayathrimedapally@gmail.com</t>
  </si>
  <si>
    <t>Mayuri Nayak</t>
  </si>
  <si>
    <t>mayuri0504@gmail.com</t>
  </si>
  <si>
    <t>Manya Mahendra</t>
  </si>
  <si>
    <t>manyanmahendra@gmail.com</t>
  </si>
  <si>
    <t>Sowmya S</t>
  </si>
  <si>
    <t>sowmyasenthil19@gmail.com</t>
  </si>
  <si>
    <t>Sana Batsha</t>
  </si>
  <si>
    <t>batshasana@gmail.com</t>
  </si>
  <si>
    <t>Meerut</t>
  </si>
  <si>
    <t>Priyanka Jain</t>
  </si>
  <si>
    <t>prachijain82725@gmail.com</t>
  </si>
  <si>
    <t>Khargone</t>
  </si>
  <si>
    <t>Deepika Tavakari</t>
  </si>
  <si>
    <t>deepikatavakari@gmail.com</t>
  </si>
  <si>
    <t>Sindhuja AnanthaMohan</t>
  </si>
  <si>
    <t>asindhuja.mca@gmail.com</t>
  </si>
  <si>
    <t>Rusali Das</t>
  </si>
  <si>
    <t>rusalidas022@gmail.com</t>
  </si>
  <si>
    <t>Bhubaneswar</t>
  </si>
  <si>
    <t>Deepanshu Bhatia</t>
  </si>
  <si>
    <t>deepanshu.bhatia6@gmail.com</t>
  </si>
  <si>
    <t>Arizona</t>
  </si>
  <si>
    <t>Glendale</t>
  </si>
  <si>
    <t>Sunil Kumar</t>
  </si>
  <si>
    <t>sunilsoftwareengineer@gmail.com</t>
  </si>
  <si>
    <t>Taruna Rana</t>
  </si>
  <si>
    <t>taruadi215@gmail.com</t>
  </si>
  <si>
    <t>Prachi Jadhav</t>
  </si>
  <si>
    <t>jprachi29@gmail.com</t>
  </si>
  <si>
    <t>Swathi Kumari</t>
  </si>
  <si>
    <t>swathi2108kumari@gmail.com</t>
  </si>
  <si>
    <t>Gunjan Shah</t>
  </si>
  <si>
    <t>gunjans.shah@gmail.com</t>
  </si>
  <si>
    <t>Sahithya D</t>
  </si>
  <si>
    <t>sahithyad98@gmail.com</t>
  </si>
  <si>
    <t>France</t>
  </si>
  <si>
    <t>Moselle</t>
  </si>
  <si>
    <t>Thionville</t>
  </si>
  <si>
    <t>Sunidhi Verma</t>
  </si>
  <si>
    <t>vermasunidhi1999@gmail.com</t>
  </si>
  <si>
    <t>Anjali Arya</t>
  </si>
  <si>
    <t>anjaliarya267@gmail.com</t>
  </si>
  <si>
    <t>Geetha Rangarajan</t>
  </si>
  <si>
    <t>rangarajan.geetha@gmail.com</t>
  </si>
  <si>
    <t>California</t>
  </si>
  <si>
    <t>San Jose</t>
  </si>
  <si>
    <t>Sheetal Prasad</t>
  </si>
  <si>
    <t>sheetalprasad9756@gmail.com</t>
  </si>
  <si>
    <t>MRINAL Agarwal</t>
  </si>
  <si>
    <t>mrinalagarwal26@gmail.com</t>
  </si>
  <si>
    <t>Gunja Jain</t>
  </si>
  <si>
    <t>gunjajain1@gmail.com</t>
  </si>
  <si>
    <t>Kundan Kumar</t>
  </si>
  <si>
    <t>kundankumar81199@gmail.com</t>
  </si>
  <si>
    <t>Supaul</t>
  </si>
  <si>
    <t>RAMKUMAR C</t>
  </si>
  <si>
    <t>proframmba@gmail.com</t>
  </si>
  <si>
    <t>Rohini Kumari</t>
  </si>
  <si>
    <t>rohikumari2504@gmail.com</t>
  </si>
  <si>
    <t>Solapur</t>
  </si>
  <si>
    <t>Roshni S</t>
  </si>
  <si>
    <t>roshni2130@gmail.com</t>
  </si>
  <si>
    <t>Shamita Rao</t>
  </si>
  <si>
    <t>Mangaluru</t>
  </si>
  <si>
    <t>Vanapalli Sravanthi</t>
  </si>
  <si>
    <t>vanapallisravanthi30@gmail.com</t>
  </si>
  <si>
    <t>Kovvur</t>
  </si>
  <si>
    <t>Tanvi Bhatnagar</t>
  </si>
  <si>
    <t>bhatnagartanvi888@gmail.com</t>
  </si>
  <si>
    <t>Panchkula</t>
  </si>
  <si>
    <t>Sanjeev Khuraijam</t>
  </si>
  <si>
    <t>wwwsanjeev58@gmail.com</t>
  </si>
  <si>
    <t>China</t>
  </si>
  <si>
    <t>Sichuan</t>
  </si>
  <si>
    <t>Chengdu</t>
  </si>
  <si>
    <t>Anil Dhulappanavar</t>
  </si>
  <si>
    <t>anil.dhulappanavar.2015@gmail.com</t>
  </si>
  <si>
    <t>Elsa Jacob</t>
  </si>
  <si>
    <t>elsajacob018@gmail.com</t>
  </si>
  <si>
    <t>Massachusetts</t>
  </si>
  <si>
    <t>Boston</t>
  </si>
  <si>
    <t>Poornima Kamath</t>
  </si>
  <si>
    <t>kamathpoorni01@gmail.com</t>
  </si>
  <si>
    <t>Simran Sandhu</t>
  </si>
  <si>
    <t>simsandhu373@gmail.com</t>
  </si>
  <si>
    <t>Canada</t>
  </si>
  <si>
    <t>Ontario</t>
  </si>
  <si>
    <t>Brampton</t>
  </si>
  <si>
    <t>Prakash T</t>
  </si>
  <si>
    <t>prakashabi202@gmail.com</t>
  </si>
  <si>
    <t>Madurai</t>
  </si>
  <si>
    <t>Neha Pillai</t>
  </si>
  <si>
    <t>Kodaikanal</t>
  </si>
  <si>
    <t>Gayatri Ganesh</t>
  </si>
  <si>
    <t>gayatri.ganesh0406@gmail.com</t>
  </si>
  <si>
    <t>Manjunath K</t>
  </si>
  <si>
    <t>kadrimanjunath56@gmail.com</t>
  </si>
  <si>
    <t>Harshwinder Singh</t>
  </si>
  <si>
    <t>chemistrysingh700@gmail.com</t>
  </si>
  <si>
    <t>Fatehgarh Sahib</t>
  </si>
  <si>
    <t>Nandani Heda</t>
  </si>
  <si>
    <t>nandaniheda@gmail.com</t>
  </si>
  <si>
    <t>AYUSH JAISWAL</t>
  </si>
  <si>
    <t>ayushjaiswal9372@gmail.com</t>
  </si>
  <si>
    <t>ANMOL KUMAR</t>
  </si>
  <si>
    <t>jitendrakumarportal@gmail.com</t>
  </si>
  <si>
    <t>Uttarakhand</t>
  </si>
  <si>
    <t>Haridwar</t>
  </si>
  <si>
    <t>Pitambar Khilar</t>
  </si>
  <si>
    <t>khilarpitambar75@gmail.com</t>
  </si>
  <si>
    <t>Balasore</t>
  </si>
  <si>
    <t>Diya Sharma</t>
  </si>
  <si>
    <t>diyaamitsharma@gmail.com</t>
  </si>
  <si>
    <t>Sonipat</t>
  </si>
  <si>
    <t>Jeremiah Lobo</t>
  </si>
  <si>
    <t>jeremiah.lobo@yahoo.co.in</t>
  </si>
  <si>
    <t>Texas</t>
  </si>
  <si>
    <t>Dallas</t>
  </si>
  <si>
    <t>KUSHAL SHAH</t>
  </si>
  <si>
    <t>kkushallshah02@gmail.com</t>
  </si>
  <si>
    <t>Kritie Omar</t>
  </si>
  <si>
    <t>kritieomarr@gmail.com</t>
  </si>
  <si>
    <t>62320 72658</t>
  </si>
  <si>
    <t>Raipur</t>
  </si>
  <si>
    <t>Pramod Ayyappath</t>
  </si>
  <si>
    <t>pramod.clinical@gmail.com</t>
  </si>
  <si>
    <t>Twinkle Sharma</t>
  </si>
  <si>
    <t>twinklesharma1108@gmail.com</t>
  </si>
  <si>
    <t>ANMOL AGARWAL</t>
  </si>
  <si>
    <t>agarwalanmol922@gmail.com</t>
  </si>
  <si>
    <t>Rajalakshmi Arumugam</t>
  </si>
  <si>
    <t>raji.biotech98@gmail.com</t>
  </si>
  <si>
    <t>Kanchipuram</t>
  </si>
  <si>
    <t>Sarulatha T</t>
  </si>
  <si>
    <t>saruraman5@gmail.com</t>
  </si>
  <si>
    <t>Anwesha Paul</t>
  </si>
  <si>
    <t>anweshapaul572@gmail.com</t>
  </si>
  <si>
    <t>24 Parganas (n)</t>
  </si>
  <si>
    <t>Aditya Roy</t>
  </si>
  <si>
    <t>aroyaditya4560@gmail.com</t>
  </si>
  <si>
    <t>Durgapur</t>
  </si>
  <si>
    <t>Deeksha Arora</t>
  </si>
  <si>
    <t>aroradeeksha59@gmail.com</t>
  </si>
  <si>
    <t>Ireland</t>
  </si>
  <si>
    <t>Dublin</t>
  </si>
  <si>
    <t>Anjali Chadha</t>
  </si>
  <si>
    <t>anjali_chadha31@yahoo.co.in</t>
  </si>
  <si>
    <t>Nishant Panchal</t>
  </si>
  <si>
    <t>n_panchal@live.com</t>
  </si>
  <si>
    <t>Naina Tara</t>
  </si>
  <si>
    <t>nainatara_2000@yahoo.com</t>
  </si>
  <si>
    <t>Navneet Kaur</t>
  </si>
  <si>
    <t>navneet.kaur3318@gmail.com</t>
  </si>
  <si>
    <t>Nikhat Waseem</t>
  </si>
  <si>
    <t>nikhatw5@gmail.com</t>
  </si>
  <si>
    <t>Deoria</t>
  </si>
  <si>
    <t>Prem Prakash</t>
  </si>
  <si>
    <t>premprakash.sg@gmail.com</t>
  </si>
  <si>
    <t>Veernash Jain</t>
  </si>
  <si>
    <t>veeranshjain58@gmail.com</t>
  </si>
  <si>
    <t>Arunima Gupta</t>
  </si>
  <si>
    <t>arunimagupta@gmail.com</t>
  </si>
  <si>
    <t>Rhea Chaturvedi</t>
  </si>
  <si>
    <t>rheachaturvedi03@gmail.com</t>
  </si>
  <si>
    <t>Dehradun</t>
  </si>
  <si>
    <t>Archit Gupta</t>
  </si>
  <si>
    <t>guptaarchit500@gmail.com</t>
  </si>
  <si>
    <t>98372-76811</t>
  </si>
  <si>
    <t>Abhilasha Singh</t>
  </si>
  <si>
    <t>abhilashasinghh.in@gmail.com</t>
  </si>
  <si>
    <t>Patna</t>
  </si>
  <si>
    <t>Parth Desai</t>
  </si>
  <si>
    <t>parthd115@gmail.com</t>
  </si>
  <si>
    <t>Gurgaon</t>
  </si>
  <si>
    <t>Chanchal Verma</t>
  </si>
  <si>
    <t>chanchalverma1310@gmail.com</t>
  </si>
  <si>
    <t>Simran Choudhary</t>
  </si>
  <si>
    <t>simrandedha0011@gmail.com</t>
  </si>
  <si>
    <t>Avarpreet Kaur</t>
  </si>
  <si>
    <t>inditeachonline@gmail.com</t>
  </si>
  <si>
    <t>IndiTeach</t>
  </si>
  <si>
    <t>Anupriya Agarwal</t>
  </si>
  <si>
    <t>anupriya.agarwal.1997@gmail.com</t>
  </si>
  <si>
    <t>Queensland</t>
  </si>
  <si>
    <t>Toowong</t>
  </si>
  <si>
    <t>Kumar Rishav</t>
  </si>
  <si>
    <t>krishav51@gmail.com</t>
  </si>
  <si>
    <t>Shivangi Goel</t>
  </si>
  <si>
    <t>shivangigoel.007@gmail.com</t>
  </si>
  <si>
    <t>Austin</t>
  </si>
  <si>
    <t>Maggie James</t>
  </si>
  <si>
    <t>mag.james95@gmail.com</t>
  </si>
  <si>
    <t>Jersey City</t>
  </si>
  <si>
    <t>Manjay Bharati</t>
  </si>
  <si>
    <t>mbseason.singhania@gmail.com</t>
  </si>
  <si>
    <t>Azamgarh</t>
  </si>
  <si>
    <t>Priya Rana</t>
  </si>
  <si>
    <t>priyanaya02@gmail.com</t>
  </si>
  <si>
    <t>Prachi Patni</t>
  </si>
  <si>
    <t>prachi.227@gmail.com</t>
  </si>
  <si>
    <t>Supriya R</t>
  </si>
  <si>
    <t>supriya.r55@gmail.com</t>
  </si>
  <si>
    <t>Debarchana Shandilya</t>
  </si>
  <si>
    <t>dshandilya98@gmail.com</t>
  </si>
  <si>
    <t>Sruthi Rajan</t>
  </si>
  <si>
    <t>sruthi.ras@gmail.com</t>
  </si>
  <si>
    <t>KAUSHIKI MISHRA</t>
  </si>
  <si>
    <t>kaushikitripathi672@gmail.com</t>
  </si>
  <si>
    <t>Fatima Husain</t>
  </si>
  <si>
    <t>fatima3280@outlook.com</t>
  </si>
  <si>
    <t>Saudi Arabia</t>
  </si>
  <si>
    <t>ar-Riyad</t>
  </si>
  <si>
    <t>Roushan Raj</t>
  </si>
  <si>
    <t>raaz007roushan@gmail.com</t>
  </si>
  <si>
    <t>Raurkela</t>
  </si>
  <si>
    <t>Neha Kengerla</t>
  </si>
  <si>
    <t>kengelneha@gmail.com</t>
  </si>
  <si>
    <t>Rishi Kathuria</t>
  </si>
  <si>
    <t>rishi.kathuria@gmail.com</t>
  </si>
  <si>
    <t>Manavi Shukla</t>
  </si>
  <si>
    <t>manavi139@gmail.com</t>
  </si>
  <si>
    <t>Mahalakshmi TM</t>
  </si>
  <si>
    <t>mahalakshmithandalam@gmail.com</t>
  </si>
  <si>
    <t>Oregon</t>
  </si>
  <si>
    <t>Lake Oswego</t>
  </si>
  <si>
    <t>Rasika Mahabal</t>
  </si>
  <si>
    <t>rasika.mahabal@gmail.com</t>
  </si>
  <si>
    <t>Fremont</t>
  </si>
  <si>
    <t>Shaista Khan</t>
  </si>
  <si>
    <t>khankhushi7990@gmail.com</t>
  </si>
  <si>
    <t>Shweta Rathore</t>
  </si>
  <si>
    <t>shwetarathore917@gmail.com</t>
  </si>
  <si>
    <t>Vaishnavi Dubey</t>
  </si>
  <si>
    <t>vaishnavi.nitya20@gmail.com</t>
  </si>
  <si>
    <t>Mahezabeen Khatun</t>
  </si>
  <si>
    <t>mahezabeenkhatun02@gmail.com</t>
  </si>
  <si>
    <t>Sambalpur</t>
  </si>
  <si>
    <t>Oorja Shrivastava</t>
  </si>
  <si>
    <t>oorjashrivastava32@gmail.com</t>
  </si>
  <si>
    <t>88156 46553</t>
  </si>
  <si>
    <t>Harini Raghavan</t>
  </si>
  <si>
    <t>harini.raghavan54@gmail.com</t>
  </si>
  <si>
    <t>Spain</t>
  </si>
  <si>
    <t>Barcelona</t>
  </si>
  <si>
    <t>Castelldefels</t>
  </si>
  <si>
    <t>Ishi Nigam</t>
  </si>
  <si>
    <t>Ishi.nigam10extras@gmail.com</t>
  </si>
  <si>
    <t>Zuid-Holland</t>
  </si>
  <si>
    <t>Delft</t>
  </si>
  <si>
    <t>PRAFUL BORKER</t>
  </si>
  <si>
    <t>prafulborker3@gmail.com</t>
  </si>
  <si>
    <t>Portugal</t>
  </si>
  <si>
    <t>Braga</t>
  </si>
  <si>
    <t>Vianna do Castello</t>
  </si>
  <si>
    <t>Anshika Sharma</t>
  </si>
  <si>
    <t>anshikasharma9627@gmail.com</t>
  </si>
  <si>
    <t>Muzaffarnagar</t>
  </si>
  <si>
    <t>Kuldeep Verma</t>
  </si>
  <si>
    <t>drkuldeep.physics@gmail.com</t>
  </si>
  <si>
    <t>Bareilly</t>
  </si>
  <si>
    <t>Asha Adisesh</t>
  </si>
  <si>
    <t>asha.adi89@gmail.com</t>
  </si>
  <si>
    <t>Lynnwood</t>
  </si>
  <si>
    <t>Ramakant Rawat</t>
  </si>
  <si>
    <t>rawatramakant93@gmail.com</t>
  </si>
  <si>
    <t>Nikita Bansal</t>
  </si>
  <si>
    <t>nikita14017@gmail.com</t>
  </si>
  <si>
    <t>Anika Lal</t>
  </si>
  <si>
    <t>bailaxmi5797@gmail.com</t>
  </si>
  <si>
    <t>Payal SHRIVASTAVA</t>
  </si>
  <si>
    <t>payal.fx.1009@gmail.com</t>
  </si>
  <si>
    <t>Kalimpong</t>
  </si>
  <si>
    <t>Hem Raj</t>
  </si>
  <si>
    <t>hemraj.raaz@gmail.com</t>
  </si>
  <si>
    <t>Ankush Jain</t>
  </si>
  <si>
    <t>ankushjain3005@gmail.com</t>
  </si>
  <si>
    <t>Mani Gupta</t>
  </si>
  <si>
    <t>m_mani21@yahoo.com</t>
  </si>
  <si>
    <t>Prerana H</t>
  </si>
  <si>
    <t>prerana.aka@gmail.com</t>
  </si>
  <si>
    <t>Kavita Sharma</t>
  </si>
  <si>
    <t>sharmakavi185@gmail.com</t>
  </si>
  <si>
    <t>Kazakhstan</t>
  </si>
  <si>
    <t>Almati</t>
  </si>
  <si>
    <t>Almaty</t>
  </si>
  <si>
    <t>Anaya Jha</t>
  </si>
  <si>
    <t>jhaajk2008@gmail.com</t>
  </si>
  <si>
    <t>Purnia</t>
  </si>
  <si>
    <t>Beas Brahma</t>
  </si>
  <si>
    <t>cmulus45@gmail.com</t>
  </si>
  <si>
    <t>Chinmay Panchariya</t>
  </si>
  <si>
    <t>chinmaypanchariya@gmail.com</t>
  </si>
  <si>
    <t>Mitali Parab</t>
  </si>
  <si>
    <t>mitaliparab02@gmail.com</t>
  </si>
  <si>
    <t>Riddhi Borkute</t>
  </si>
  <si>
    <t>riddhiborkute6@gmail.com</t>
  </si>
  <si>
    <t>Germany</t>
  </si>
  <si>
    <t>Berlin</t>
  </si>
  <si>
    <t>Ritu Srivastava</t>
  </si>
  <si>
    <t>helloritu@yahoo.com</t>
  </si>
  <si>
    <t>richacademic42@gmail.com</t>
  </si>
  <si>
    <t>Deeksha Chauhan</t>
  </si>
  <si>
    <t>chauhandeeksha197@gmail.com</t>
  </si>
  <si>
    <t>Priyanshu Rout</t>
  </si>
  <si>
    <t>priyanshuranjanrout20@gmail.com</t>
  </si>
  <si>
    <t>ANISH SARKAR</t>
  </si>
  <si>
    <t>anishsarkar09112005@gmail.com</t>
  </si>
  <si>
    <t>Asansol</t>
  </si>
  <si>
    <t>Sarvagya Dwivedi</t>
  </si>
  <si>
    <t>sarvagyadwived2009@gmail.com</t>
  </si>
  <si>
    <t>Shruthi SathyaNarayanan</t>
  </si>
  <si>
    <t>sruthi2k6@gmail.com</t>
  </si>
  <si>
    <t>West Hills</t>
  </si>
  <si>
    <t>Advika Umaraw</t>
  </si>
  <si>
    <t>reshusweet@gmail.com</t>
  </si>
  <si>
    <t>Nihar Choudhary</t>
  </si>
  <si>
    <t>niharbeniwal@gmail.com</t>
  </si>
  <si>
    <t>Mythili N</t>
  </si>
  <si>
    <t>mythilin@hotmail.com</t>
  </si>
  <si>
    <t>Sanjana Songa</t>
  </si>
  <si>
    <t>ssonga716@gmail.com</t>
  </si>
  <si>
    <t>Poongodi Murthy</t>
  </si>
  <si>
    <t>poongodinandan@gmail.com</t>
  </si>
  <si>
    <t>Pranab Biswas</t>
  </si>
  <si>
    <t>pranab.reliance@gmail.com</t>
  </si>
  <si>
    <t>Alok Das</t>
  </si>
  <si>
    <t>dasalok1995@gmail.com</t>
  </si>
  <si>
    <t>Aishani Mazumder</t>
  </si>
  <si>
    <t>aishanim94@gmail.com</t>
  </si>
  <si>
    <t>Noord-Brabant</t>
  </si>
  <si>
    <t>Eindhoven</t>
  </si>
  <si>
    <t>Pradeep B</t>
  </si>
  <si>
    <t>pradeepchoudhary3253@gmail.com</t>
  </si>
  <si>
    <t>Udaipur</t>
  </si>
  <si>
    <t>LalithaSaiNikhitha Javvaji</t>
  </si>
  <si>
    <t>yorozuyanikki@gmail.com</t>
  </si>
  <si>
    <t>Siddharth Parida</t>
  </si>
  <si>
    <t>sid.bibhu100@gmail.com</t>
  </si>
  <si>
    <t>Pranjal Kawle</t>
  </si>
  <si>
    <t>pranjalkawle0@gmail.com</t>
  </si>
  <si>
    <t>Thrisha G</t>
  </si>
  <si>
    <t>gthrisha02@gmail.com</t>
  </si>
  <si>
    <t>Kajal Sharma</t>
  </si>
  <si>
    <t>kajalshrm2805@gmail.com</t>
  </si>
  <si>
    <t>Mahak Modi</t>
  </si>
  <si>
    <t>mahakmodi.jps@gmail.com</t>
  </si>
  <si>
    <t>Sameeksha Singh</t>
  </si>
  <si>
    <t>toworksameeksha@gmail.com</t>
  </si>
  <si>
    <t>Deepa SheikPranBabu</t>
  </si>
  <si>
    <t>deepsapb@gmail.com</t>
  </si>
  <si>
    <t>San Diego</t>
  </si>
  <si>
    <t>Raksha Prasad</t>
  </si>
  <si>
    <t>raksha.prasad95@gmail.com</t>
  </si>
  <si>
    <t>Sanvi Bajaj</t>
  </si>
  <si>
    <t>Sanvi.bajaj2020@gmail.com</t>
  </si>
  <si>
    <t>Mukund PratapSingh</t>
  </si>
  <si>
    <t>mukundpsingh2004@gmail.com</t>
  </si>
  <si>
    <t>DIVYA DUBEY</t>
  </si>
  <si>
    <t>diyadubey379@gmail.con</t>
  </si>
  <si>
    <t>Jaunpur</t>
  </si>
  <si>
    <t>Divyansh Goswami</t>
  </si>
  <si>
    <t>divyanshpuri22@gmail.com</t>
  </si>
  <si>
    <t>Bhilwara</t>
  </si>
  <si>
    <t>Smita Oke</t>
  </si>
  <si>
    <t>smitaoke1@gmail.com</t>
  </si>
  <si>
    <t>Arlington</t>
  </si>
  <si>
    <t>ANKITA JAISWAL</t>
  </si>
  <si>
    <t>jaiswalrockstar212@gmail.com</t>
  </si>
  <si>
    <t>Amethi</t>
  </si>
  <si>
    <t>Archana Sridhar</t>
  </si>
  <si>
    <t>archanasridharb4u@gmail.com</t>
  </si>
  <si>
    <t>Virginia</t>
  </si>
  <si>
    <t>Reston</t>
  </si>
  <si>
    <t>MIJANUR RAHMAN</t>
  </si>
  <si>
    <t>mijanur2233@gmail.com</t>
  </si>
  <si>
    <t>Gossaigaon</t>
  </si>
  <si>
    <t>CENTRE FOR RELIEF AND REHABILITATION</t>
  </si>
  <si>
    <t>Swanandi Apar</t>
  </si>
  <si>
    <t>aparswanandi@gmail.com</t>
  </si>
  <si>
    <t>Swastika Senthilvel</t>
  </si>
  <si>
    <t>swastikasenthilvel@gmail.com</t>
  </si>
  <si>
    <t>Dabbiru Suresh</t>
  </si>
  <si>
    <t>dabbirusuresh63@gmail.com</t>
  </si>
  <si>
    <t>80190-50371</t>
  </si>
  <si>
    <t>AKANKSHA SINGH</t>
  </si>
  <si>
    <t>akanksharaghuvanshi4@gmail.com</t>
  </si>
  <si>
    <t>Divya Prabha</t>
  </si>
  <si>
    <t>divi12.prabha@gmail.com</t>
  </si>
  <si>
    <t>Ramkumar Thayumanavan</t>
  </si>
  <si>
    <t>tvmramkumark@gmail.com</t>
  </si>
  <si>
    <t>AISHIKI MONDAL</t>
  </si>
  <si>
    <t>aishiki.m1806@gmail.com</t>
  </si>
  <si>
    <t>Gopal Pawar</t>
  </si>
  <si>
    <t>gsogopalpawar@gmail.com</t>
  </si>
  <si>
    <t>Gulbarga</t>
  </si>
  <si>
    <t>DEEPAK KUMAR</t>
  </si>
  <si>
    <t>deepakdiwakar3@gmail.com</t>
  </si>
  <si>
    <t>Guna</t>
  </si>
  <si>
    <t>Chaitanya Kulkarni</t>
  </si>
  <si>
    <t>chaitanyakbusiness@gmail.com</t>
  </si>
  <si>
    <t>Arundhathi Devi</t>
  </si>
  <si>
    <t>arundhati.devi.kp@gmail.com</t>
  </si>
  <si>
    <t>Kozhikode</t>
  </si>
  <si>
    <t>Dinesh Pohane</t>
  </si>
  <si>
    <t>dpohane@gmail.com</t>
  </si>
  <si>
    <t>East Brunswick</t>
  </si>
  <si>
    <t>Somya Vats</t>
  </si>
  <si>
    <t>somya.vats07@gmail.com</t>
  </si>
  <si>
    <t>Rhone</t>
  </si>
  <si>
    <t>Lyon</t>
  </si>
  <si>
    <t>Gurjot Kaur</t>
  </si>
  <si>
    <t>gurjotoberoi24@gmail.com</t>
  </si>
  <si>
    <t>Sana Dhawan</t>
  </si>
  <si>
    <t>dhawansana601@gmail.com</t>
  </si>
  <si>
    <t>Vishal Jain</t>
  </si>
  <si>
    <t>vjaxis@gmail.com</t>
  </si>
  <si>
    <t>Chathurya Srinivasan</t>
  </si>
  <si>
    <t>chathuryasrinivasan@gmail.com</t>
  </si>
  <si>
    <t>Tushar Datt</t>
  </si>
  <si>
    <t>tushar292002datt@gmail.com</t>
  </si>
  <si>
    <t>Deepak Diwakar</t>
  </si>
  <si>
    <t>deepakdiwakar@gmail.com</t>
  </si>
  <si>
    <t>CHANDRA BHOOSHANPANDEY</t>
  </si>
  <si>
    <t>chandrabp94@gmail.com</t>
  </si>
  <si>
    <t>Chitrakut Dham</t>
  </si>
  <si>
    <t>Tasnia Nafi</t>
  </si>
  <si>
    <t>tasnianafi1@gmail.com</t>
  </si>
  <si>
    <t>Dibyanshu Kumar</t>
  </si>
  <si>
    <t>dkroyals1001@gmail.com</t>
  </si>
  <si>
    <t>Ranchi</t>
  </si>
  <si>
    <t>Mansi Yadav</t>
  </si>
  <si>
    <t>mansiyad2004@gmail.com</t>
  </si>
  <si>
    <t>Palwal</t>
  </si>
  <si>
    <t>Amruta Jajoo</t>
  </si>
  <si>
    <t>amrutadamani@gmail.com</t>
  </si>
  <si>
    <t>Bhavya Jain</t>
  </si>
  <si>
    <t>jainbhav0207@gmail.com</t>
  </si>
  <si>
    <t>Swati Kushtagi</t>
  </si>
  <si>
    <t>swatikushtagi005@gmail.com</t>
  </si>
  <si>
    <t>Ankita Chakraborty</t>
  </si>
  <si>
    <t>ankichak875@gmail.com</t>
  </si>
  <si>
    <t>Mahadevapura</t>
  </si>
  <si>
    <t>Rukaiya Fatma</t>
  </si>
  <si>
    <t>rukiyafatma261@gmail.com</t>
  </si>
  <si>
    <t>Shraddha Mankumbare</t>
  </si>
  <si>
    <t>shraddhamankumare1@gmail.com</t>
  </si>
  <si>
    <t>Tennessee</t>
  </si>
  <si>
    <t>Nashville</t>
  </si>
  <si>
    <t>Shivani Somani</t>
  </si>
  <si>
    <t>shivanisomani0912@gmail.com</t>
  </si>
  <si>
    <t>Gwalior</t>
  </si>
  <si>
    <t>Neelam Chhabra</t>
  </si>
  <si>
    <t>akshitachhabra25@gmail.com</t>
  </si>
  <si>
    <t>Shambhavi Pandey</t>
  </si>
  <si>
    <t>shaaambhavi1998@gmail.com</t>
  </si>
  <si>
    <t>mankumareshraddha40@gmail.com</t>
  </si>
  <si>
    <t>DrSuman Singh</t>
  </si>
  <si>
    <t>sumansingh2679@gmail.com</t>
  </si>
  <si>
    <t>Preeti Verma</t>
  </si>
  <si>
    <t>mulberry.vedu@gmail.com</t>
  </si>
  <si>
    <t>Vishvajeet Patel</t>
  </si>
  <si>
    <t>vishvajeet.patel@1mg.com</t>
  </si>
  <si>
    <t>Ruhi Mahesh</t>
  </si>
  <si>
    <t>ruhi.mahesh_ug2025@ashoka.edu.in</t>
  </si>
  <si>
    <t>Ritika Ritika</t>
  </si>
  <si>
    <t>ritika01304@gmail.com</t>
  </si>
  <si>
    <t>Ananya Prasad</t>
  </si>
  <si>
    <t>ananyagprasad05@gmail.com</t>
  </si>
  <si>
    <t>Supraja S</t>
  </si>
  <si>
    <t>suprajasaranath@gmail.com</t>
  </si>
  <si>
    <t>Manik Garg</t>
  </si>
  <si>
    <t>gargmanik707@gmail.com</t>
  </si>
  <si>
    <t>Faridkot</t>
  </si>
  <si>
    <t>Pahal Vyas</t>
  </si>
  <si>
    <t>vyaspahal@10gmail.com</t>
  </si>
  <si>
    <t>Gauri Sharma</t>
  </si>
  <si>
    <t>gaurisharma1111712@gmail.com</t>
  </si>
  <si>
    <t>Divyanshu Trivedi</t>
  </si>
  <si>
    <t>divyanshutrivedi89@gmail.com</t>
  </si>
  <si>
    <t>Kanpur</t>
  </si>
  <si>
    <t>ROHITH SAI</t>
  </si>
  <si>
    <t>rohith05454@gmail.com</t>
  </si>
  <si>
    <t>Sonu Krishnan</t>
  </si>
  <si>
    <t>sonax01@gmail.com</t>
  </si>
  <si>
    <t>Indu Prabha</t>
  </si>
  <si>
    <t>induprabha2537@gmail.com</t>
  </si>
  <si>
    <t>M RITHIKA</t>
  </si>
  <si>
    <t>Pankajbharathi Sowmianarayanan</t>
  </si>
  <si>
    <t>p6ankaj@gmail.com</t>
  </si>
  <si>
    <t>Abhishek Mukherjee</t>
  </si>
  <si>
    <t>akmukherjee3000@gmail.com</t>
  </si>
  <si>
    <t>Mundra</t>
  </si>
  <si>
    <t>Gafur Ansari</t>
  </si>
  <si>
    <t>za3031786@gmail.com</t>
  </si>
  <si>
    <t>Aarti NA</t>
  </si>
  <si>
    <t>aarti_2402@islorg.com</t>
  </si>
  <si>
    <t>Bulandshahar</t>
  </si>
  <si>
    <t>Aman Kumar</t>
  </si>
  <si>
    <t>amankryadav1012@gmail.com</t>
  </si>
  <si>
    <t>Sengamali KN</t>
  </si>
  <si>
    <t>sengamalikamali@gmail.com</t>
  </si>
  <si>
    <t>Shivani Tandewal</t>
  </si>
  <si>
    <t>shivanitandewal950@gmail.com</t>
  </si>
  <si>
    <t>Priyanshu Singh</t>
  </si>
  <si>
    <t>24m2101@iitb.ac.in</t>
  </si>
  <si>
    <t>Asha Pachisia</t>
  </si>
  <si>
    <t>ash.hope1@gmail.com</t>
  </si>
  <si>
    <t>Siddhant Waghanna</t>
  </si>
  <si>
    <t>siddhantwaghanna@gmail.com</t>
  </si>
  <si>
    <t>Shruti Rao</t>
  </si>
  <si>
    <t>shruti.solan@gmail.com</t>
  </si>
  <si>
    <t>Shivangi Srivastava</t>
  </si>
  <si>
    <t>shivangi.srivastava4796@gmail.com</t>
  </si>
  <si>
    <t>Shuba N</t>
  </si>
  <si>
    <t>shubasrinivas27@gmail.com</t>
  </si>
  <si>
    <t>CHAMAN Chauhan</t>
  </si>
  <si>
    <t>chamanchauhan2003@gmail.com</t>
  </si>
  <si>
    <t>Sundarnagar</t>
  </si>
  <si>
    <t>Pooja Chaudhary</t>
  </si>
  <si>
    <t>poojachaudhary364@gmail.com</t>
  </si>
  <si>
    <t>Arkadeepa Das</t>
  </si>
  <si>
    <t>arkadeepadas2002@gmail.com</t>
  </si>
  <si>
    <t>Varsha Bathwal</t>
  </si>
  <si>
    <t>princybathwal8@gmail.com</t>
  </si>
  <si>
    <t>Basti</t>
  </si>
  <si>
    <t>Aayushi Verma</t>
  </si>
  <si>
    <t>aayushivermaji@gmail.com</t>
  </si>
  <si>
    <t>Charvi Priyam</t>
  </si>
  <si>
    <t>charvipriyam@gmail.com</t>
  </si>
  <si>
    <t>Silky Sehgal</t>
  </si>
  <si>
    <t>silkysehgal26@gmail.com</t>
  </si>
  <si>
    <t>Sunaina Verma</t>
  </si>
  <si>
    <t>sunainav7657@gmail.com</t>
  </si>
  <si>
    <t>Anubhav Rajoria</t>
  </si>
  <si>
    <t>connect.anubhavrajoria@gmail.com</t>
  </si>
  <si>
    <t>Sahana Kushtagi</t>
  </si>
  <si>
    <t>sahanakushtagi05@gmail.com</t>
  </si>
  <si>
    <t>Dharwar</t>
  </si>
  <si>
    <t>Avni Malik</t>
  </si>
  <si>
    <t>1704avnimalik@gmail.com</t>
  </si>
  <si>
    <t>Deepanshi Garg</t>
  </si>
  <si>
    <t>deepanshigarg149@gmail.com</t>
  </si>
  <si>
    <t>Greater Noida</t>
  </si>
  <si>
    <t>Sanskar Maheshwari</t>
  </si>
  <si>
    <t>sanskarmaheshwari@hotmail.com</t>
  </si>
  <si>
    <t>Prince Tyagi</t>
  </si>
  <si>
    <t>tyagiprince544@gmail.com</t>
  </si>
  <si>
    <t>Ayush Sharma</t>
  </si>
  <si>
    <t>ayushsharma132005@gmail.com</t>
  </si>
  <si>
    <t>SURAJ PRAMANIK</t>
  </si>
  <si>
    <t>surajpramanik2001@gmail.com</t>
  </si>
  <si>
    <t>Aparajita Chembrolu</t>
  </si>
  <si>
    <t>aparajita1105@gmail.com</t>
  </si>
  <si>
    <t>Manipal</t>
  </si>
  <si>
    <t>Tanmay Negi</t>
  </si>
  <si>
    <t>tanmaynegimail2005@gmail.com</t>
  </si>
  <si>
    <t>Navi Mumbai</t>
  </si>
  <si>
    <t>Swaranava Mondal</t>
  </si>
  <si>
    <t>swaranava10mymail@gmail.com</t>
  </si>
  <si>
    <t>Mauryan Krishi</t>
  </si>
  <si>
    <t>krishimauryan@gmail.com</t>
  </si>
  <si>
    <t>Ooty</t>
  </si>
  <si>
    <t>Parvathy Nair</t>
  </si>
  <si>
    <t>parvathyrenjithnair123@gmail.com</t>
  </si>
  <si>
    <t>Krisha RahulMehta</t>
  </si>
  <si>
    <t>krishamehta939@gmail.com</t>
  </si>
  <si>
    <t>Sai Kesavamatham</t>
  </si>
  <si>
    <t>sai009@gmail.com</t>
  </si>
  <si>
    <t>Malar N</t>
  </si>
  <si>
    <t>m_loganathan@yahoo.com</t>
  </si>
  <si>
    <t>Rahul Sharma</t>
  </si>
  <si>
    <t>jejivo6469@pazard.com</t>
  </si>
  <si>
    <t>Devesh Sarode</t>
  </si>
  <si>
    <t>deveshsarode23@gmail.com</t>
  </si>
  <si>
    <t>Sruti Mohanty</t>
  </si>
  <si>
    <t>mohantysruti2008@gmail.com</t>
  </si>
  <si>
    <t>Hanika Aggarwal</t>
  </si>
  <si>
    <t>hanikaaggarwal29@gmail.com</t>
  </si>
  <si>
    <t>Mohit Mangal</t>
  </si>
  <si>
    <t>mangalmohit002@gmail.com</t>
  </si>
  <si>
    <t>Shaina Salma</t>
  </si>
  <si>
    <t>shainasalma15@gmail.com</t>
  </si>
  <si>
    <t>Yashika Maheshwari</t>
  </si>
  <si>
    <t>ym6646070@gmail.com</t>
  </si>
  <si>
    <t>Chaitanya Mulay</t>
  </si>
  <si>
    <t>chaitanyamulay231@gmail.com</t>
  </si>
  <si>
    <t>Roshan Singh</t>
  </si>
  <si>
    <t>roshan@sootisyahi.com</t>
  </si>
  <si>
    <t>Bhavatarini Janakiraman</t>
  </si>
  <si>
    <t>jbhavatarini@gmail.com</t>
  </si>
  <si>
    <t>96763 43268</t>
  </si>
  <si>
    <t>aish1204.m@gmail.com</t>
  </si>
  <si>
    <t>Rishi Damalcheruvu</t>
  </si>
  <si>
    <t>emailrishireddy@gmail.com</t>
  </si>
  <si>
    <t>Surrey</t>
  </si>
  <si>
    <t>Carshalton</t>
  </si>
  <si>
    <t>Harshita Sheshgiri</t>
  </si>
  <si>
    <t>hsheshgiri13@gmail.com</t>
  </si>
  <si>
    <t>Sanjana Ps</t>
  </si>
  <si>
    <t>pssanjana14@gmail.com</t>
  </si>
  <si>
    <t>Frisco</t>
  </si>
  <si>
    <t>Bhavikaa Dogra</t>
  </si>
  <si>
    <t>bhavikaadogra@gmail.com</t>
  </si>
  <si>
    <t>Ayush Kumar</t>
  </si>
  <si>
    <t>ayushkumar09704@gmail.com</t>
  </si>
  <si>
    <t>Ritwik Piduri</t>
  </si>
  <si>
    <t>ritwikpiduri@gmail.com</t>
  </si>
  <si>
    <t>Amrutha M</t>
  </si>
  <si>
    <t>amrutha_84@yahoo.com</t>
  </si>
  <si>
    <t>Parshav Khandelwal</t>
  </si>
  <si>
    <t>khandelwalparshavrawat@gmail.com</t>
  </si>
  <si>
    <t>Sanjeev Jain</t>
  </si>
  <si>
    <t>sanjeev.s.jain@gmail.com</t>
  </si>
  <si>
    <t>Macau S.A.R.</t>
  </si>
  <si>
    <t>Macau</t>
  </si>
  <si>
    <t>Ekta Shrivastava</t>
  </si>
  <si>
    <t>ekta3719@gmail.com</t>
  </si>
  <si>
    <t>Raunak Raj</t>
  </si>
  <si>
    <t>raunak.raj032@gmail.com</t>
  </si>
  <si>
    <t>Meenakshi Gupta</t>
  </si>
  <si>
    <t>guptaa.meenakshii@gmail.com</t>
  </si>
  <si>
    <t>Goa</t>
  </si>
  <si>
    <t>Penha de Franca</t>
  </si>
  <si>
    <t>KUMARI AYUSHI</t>
  </si>
  <si>
    <t>kumariayushi623@gmail.com</t>
  </si>
  <si>
    <t>Ballia</t>
  </si>
  <si>
    <t>Stuti Rai</t>
  </si>
  <si>
    <t>rai.stuti02@gmail.com</t>
  </si>
  <si>
    <t>Sharvari Hosur</t>
  </si>
  <si>
    <t>sharvari.hosur05@gmail.com</t>
  </si>
  <si>
    <t>Purnima Varshney</t>
  </si>
  <si>
    <t>purnimavarshney059@gmail.com</t>
  </si>
  <si>
    <t>Badaun</t>
  </si>
  <si>
    <t>Moumita Biswas</t>
  </si>
  <si>
    <t>biswasmoumita1214@gmail.com</t>
  </si>
  <si>
    <t>Barrackpore</t>
  </si>
  <si>
    <t>Rashmi Kant</t>
  </si>
  <si>
    <t>rashmikant2005@gmail.com</t>
  </si>
  <si>
    <t>Yash Kumar</t>
  </si>
  <si>
    <t>kumaryash5354@gmail.com</t>
  </si>
  <si>
    <t>SONAM SHARMA</t>
  </si>
  <si>
    <t>jeenusonam@gmail.com</t>
  </si>
  <si>
    <t>Sushmita Poojari</t>
  </si>
  <si>
    <t>sshmtaa@gmail.com</t>
  </si>
  <si>
    <t>Saanvi Sharma</t>
  </si>
  <si>
    <t>saanvi11sharma05@gmail.com</t>
  </si>
  <si>
    <t>Dev Kejriwal</t>
  </si>
  <si>
    <t>devkejriwal2009@gmail.com</t>
  </si>
  <si>
    <t>Dheeraj Bairwa</t>
  </si>
  <si>
    <t>dheerajkumarbairwa507@gmail.com</t>
  </si>
  <si>
    <t>Alwar</t>
  </si>
  <si>
    <t>Prabal Bansal</t>
  </si>
  <si>
    <t>prabal.bansal2004@gmail.com</t>
  </si>
  <si>
    <t>Ayush Prasad</t>
  </si>
  <si>
    <t>ayushprasad0805@gmail.com</t>
  </si>
  <si>
    <t>Dhanbad</t>
  </si>
  <si>
    <t>Yashwanth Kandrathi</t>
  </si>
  <si>
    <t>kandrathiyashwanth@gmail.com</t>
  </si>
  <si>
    <t>Pankhudi Shrivastava</t>
  </si>
  <si>
    <t>pankhudishrivastavaa5@gmail.com</t>
  </si>
  <si>
    <t>Bilaspur</t>
  </si>
  <si>
    <t>Shardul Sankhyan</t>
  </si>
  <si>
    <t>sankhyanshar222@gmail.com</t>
  </si>
  <si>
    <t>Solan</t>
  </si>
  <si>
    <t>Gaurav Sarode</t>
  </si>
  <si>
    <t>gauravgsarode@gmail.com</t>
  </si>
  <si>
    <t>Sanjampreet Kaur</t>
  </si>
  <si>
    <t>sanjampreet777@gmail.com</t>
  </si>
  <si>
    <t>Patiala</t>
  </si>
  <si>
    <t>Abhijeet Bhujang</t>
  </si>
  <si>
    <t>abhijeet.bhujang1995@gmail.com</t>
  </si>
  <si>
    <t>KRISHNA PRIYA</t>
  </si>
  <si>
    <t>krishnapriyanambiar11@gmail.com</t>
  </si>
  <si>
    <t>Divya Palanichamy</t>
  </si>
  <si>
    <t>divya.vpm@gmail.com</t>
  </si>
  <si>
    <t>Arbaj Khan</t>
  </si>
  <si>
    <t>Damoh</t>
  </si>
  <si>
    <t>Shivani Verma</t>
  </si>
  <si>
    <t>shivaniverma260192@gmail.com</t>
  </si>
  <si>
    <t>Amruta Randhir</t>
  </si>
  <si>
    <t>amruta.randhir@gmail.com</t>
  </si>
  <si>
    <t>Rohit Rohit</t>
  </si>
  <si>
    <t>rohitk520@gmail.com</t>
  </si>
  <si>
    <t>Andaman and Nicobar Islands</t>
  </si>
  <si>
    <t>Port Blair</t>
  </si>
  <si>
    <t>Jella Bharath</t>
  </si>
  <si>
    <t>jella.bharath02@gmail.com</t>
  </si>
  <si>
    <t>Achampet</t>
  </si>
  <si>
    <t>Lakshmiram edtech</t>
  </si>
  <si>
    <t>Yashika Khurana</t>
  </si>
  <si>
    <t>yashikakhurana256@gmail.com</t>
  </si>
  <si>
    <t>Keshav Chaudhary</t>
  </si>
  <si>
    <t>Samaira Singh</t>
  </si>
  <si>
    <t>technicalproblemsolution879@gmail.com</t>
  </si>
  <si>
    <t>Jammu and Kashmir</t>
  </si>
  <si>
    <t>Akhnur</t>
  </si>
  <si>
    <t>Suneha Dubey</t>
  </si>
  <si>
    <t>sunehadubey90@gmail.com</t>
  </si>
  <si>
    <t>ArjunReddy Burgu</t>
  </si>
  <si>
    <t>arjunreddyburgu@gmail.com</t>
  </si>
  <si>
    <t>Uttam Ahirwar</t>
  </si>
  <si>
    <t>uttamchaudhary1934@gmail.com</t>
  </si>
  <si>
    <t>Chhatarpur</t>
  </si>
  <si>
    <t>Vinay Kumar</t>
  </si>
  <si>
    <t>edigaravinaykumar@gmail.com</t>
  </si>
  <si>
    <t>Davangere</t>
  </si>
  <si>
    <t>Paras Chopra</t>
  </si>
  <si>
    <t>paraschopra611@gmail.com</t>
  </si>
  <si>
    <t>Corpay</t>
  </si>
  <si>
    <t>Ranibala Gorthy</t>
  </si>
  <si>
    <t>ranibala.dantu@gmail.com</t>
  </si>
  <si>
    <t>Roja HD</t>
  </si>
  <si>
    <t>rojahd27@gmail.com</t>
  </si>
  <si>
    <t>Gitanjali Das</t>
  </si>
  <si>
    <t>tamalfuture@gmail.com</t>
  </si>
  <si>
    <t>Kalyani</t>
  </si>
  <si>
    <t>Deeptima Ojha</t>
  </si>
  <si>
    <t>deeptimaojha@gmail.com</t>
  </si>
  <si>
    <t>RAJESH ADHITHYA</t>
  </si>
  <si>
    <t>rajmaha75003@gmail.com</t>
  </si>
  <si>
    <t>Sumeera Saba</t>
  </si>
  <si>
    <t>sumeerasaba17@gmail.com</t>
  </si>
  <si>
    <t>NAGAPRATHYUSHA Patchipulusu</t>
  </si>
  <si>
    <t>npratyu768@gmail.com</t>
  </si>
  <si>
    <t>Vizianagaram</t>
  </si>
  <si>
    <t>Vyas Vishwakarma</t>
  </si>
  <si>
    <t>vyas2253@gmail.com</t>
  </si>
  <si>
    <t>Gorakhpur</t>
  </si>
  <si>
    <t>Shubham Gupta</t>
  </si>
  <si>
    <t>shubh456gupta@gmail.com</t>
  </si>
  <si>
    <t>Harish Kuppam</t>
  </si>
  <si>
    <t>kuppamharish97@gmail.com</t>
  </si>
  <si>
    <t>San Francisco</t>
  </si>
  <si>
    <t>Kanishka Thakur</t>
  </si>
  <si>
    <t>thakurkanishka424@gmail.com</t>
  </si>
  <si>
    <t>YASH WACHASUNDAR</t>
  </si>
  <si>
    <t>yspgamers333@gmail.com</t>
  </si>
  <si>
    <t>Akshara Bajpai</t>
  </si>
  <si>
    <t>bajpaimanvi461@gmail.com</t>
  </si>
  <si>
    <t>Lakhimpur</t>
  </si>
  <si>
    <t>Shreyashree Kar</t>
  </si>
  <si>
    <t>karshreyashree4@gmail.com</t>
  </si>
  <si>
    <t>Priyanka Rajawat</t>
  </si>
  <si>
    <t>rajawatofficialpriyanka2577@gmail.com</t>
  </si>
  <si>
    <t>Mathura</t>
  </si>
  <si>
    <t>Sangeeta Kumari</t>
  </si>
  <si>
    <t>sangeeta.nccs@gmail.com</t>
  </si>
  <si>
    <t>Utrecht</t>
  </si>
  <si>
    <t>Aayushi Trivedi</t>
  </si>
  <si>
    <t>aayutrivedi13@gmail.com</t>
  </si>
  <si>
    <t>Arman Kumar</t>
  </si>
  <si>
    <t>armannkumar957@gmail.com</t>
  </si>
  <si>
    <t>Ritu Ahuja</t>
  </si>
  <si>
    <t>ahujaritu4@gmail.com</t>
  </si>
  <si>
    <t>Sneha Chhabra</t>
  </si>
  <si>
    <t>schhabra.analyst@gmail.com</t>
  </si>
  <si>
    <t>Maryland</t>
  </si>
  <si>
    <t>Germantown</t>
  </si>
  <si>
    <t>Hritika Somani</t>
  </si>
  <si>
    <t>hritikasomani22012008@gmail.com</t>
  </si>
  <si>
    <t>Sai Prasad</t>
  </si>
  <si>
    <t>sai.1si10me093@gmail.com</t>
  </si>
  <si>
    <t>Nayana Pai</t>
  </si>
  <si>
    <t>nayanajp2015@gmail.com</t>
  </si>
  <si>
    <t>Naira Bedi</t>
  </si>
  <si>
    <t>nairabedi2010@gmail.com</t>
  </si>
  <si>
    <t>Shailja Rana</t>
  </si>
  <si>
    <t>shailjarana700@gmail.com</t>
  </si>
  <si>
    <t>Ruchita Munagala</t>
  </si>
  <si>
    <t>ruchitham.2003@gmail.com</t>
  </si>
  <si>
    <t>KEERTHANA G</t>
  </si>
  <si>
    <t>keerthana.gowreesha@gmail.com</t>
  </si>
  <si>
    <t>Yasmin Gill</t>
  </si>
  <si>
    <t>yasminchahalgill@gmail.com</t>
  </si>
  <si>
    <t>Chandigarh</t>
  </si>
  <si>
    <t>Meera Revankar</t>
  </si>
  <si>
    <t>puttyrevankar@gmail.com</t>
  </si>
  <si>
    <t>Cork</t>
  </si>
  <si>
    <t>Saumya Gupta</t>
  </si>
  <si>
    <t>saumyag281@gmail.com</t>
  </si>
  <si>
    <t>Vasudha Singh</t>
  </si>
  <si>
    <t>gahlotvasu@gmail.com</t>
  </si>
  <si>
    <t>Mahesh Balan</t>
  </si>
  <si>
    <t>emailmaheshbalan@gmail.com</t>
  </si>
  <si>
    <t>Priyanka Prakash</t>
  </si>
  <si>
    <t>Kirkland</t>
  </si>
  <si>
    <t>Ajay Chawala</t>
  </si>
  <si>
    <t>ajay91079@gmail.com</t>
  </si>
  <si>
    <t>Sikar</t>
  </si>
  <si>
    <t>Harshit Parik</t>
  </si>
  <si>
    <t>harshitparik5@gmail.com</t>
  </si>
  <si>
    <t>Siliguri</t>
  </si>
  <si>
    <t>Kanal Patel</t>
  </si>
  <si>
    <t>kanalpatel16@gmail.com</t>
  </si>
  <si>
    <t>Melbourne</t>
  </si>
  <si>
    <t>Sireesha Peddibhotla</t>
  </si>
  <si>
    <t>ramyasireesha28@gmail.com</t>
  </si>
  <si>
    <t>Abhiti Rawat</t>
  </si>
  <si>
    <t>ABHITIIIII2306@gmail.com</t>
  </si>
  <si>
    <t>Priyanka Chavan</t>
  </si>
  <si>
    <t>priyankachavan9229@gmail.com</t>
  </si>
  <si>
    <t>Naman Naman</t>
  </si>
  <si>
    <t>drishtigg.20@gmail.com</t>
  </si>
  <si>
    <t>Sunam</t>
  </si>
  <si>
    <t>Anindita Paul</t>
  </si>
  <si>
    <t>aninditapaul246@gmail.com</t>
  </si>
  <si>
    <t>Akhilesh Kumar</t>
  </si>
  <si>
    <t>akhileshlmp1994@gmail.com</t>
  </si>
  <si>
    <t>Kheri</t>
  </si>
  <si>
    <t>Amisha Sharma</t>
  </si>
  <si>
    <t>officialamishasharma@gmail.com</t>
  </si>
  <si>
    <t>Pratyaksh Gosain</t>
  </si>
  <si>
    <t>pratyakshgosain.nmims@gmail.com</t>
  </si>
  <si>
    <t>Eddy</t>
  </si>
  <si>
    <t>Abinaya Dodavarapu</t>
  </si>
  <si>
    <t>abinayadodavarapu@gmail.com</t>
  </si>
  <si>
    <t>iamnaman2009@gmail.com</t>
  </si>
  <si>
    <t>Kavin K</t>
  </si>
  <si>
    <t>kavindreams16@gmail.com</t>
  </si>
  <si>
    <t>Vedanshi Agarwal</t>
  </si>
  <si>
    <t>agarwal.vedanshi2007@gmail.com</t>
  </si>
  <si>
    <t>Shreyasi Rachha</t>
  </si>
  <si>
    <t>rshreyasi12@gmail.com</t>
  </si>
  <si>
    <t>Mansi Chandra</t>
  </si>
  <si>
    <t>mansichandra11112000@gmail.com</t>
  </si>
  <si>
    <t>PANKHUDI SHRIVASTAVA</t>
  </si>
  <si>
    <t>pankhudishrivastava5@gmail.com</t>
  </si>
  <si>
    <t>Agrima Jain</t>
  </si>
  <si>
    <t>agrimajain241@gmail.com</t>
  </si>
  <si>
    <t>Phagwara</t>
  </si>
  <si>
    <t>Ancy Wilson</t>
  </si>
  <si>
    <t>ancywilson91@gmail.com</t>
  </si>
  <si>
    <t>MANISHA VELANKAR</t>
  </si>
  <si>
    <t>Manisha.velankar@accenture.com</t>
  </si>
  <si>
    <t>Sloka Mantripragada</t>
  </si>
  <si>
    <t>mvssloka@gmail.com</t>
  </si>
  <si>
    <t>Shrishti Shandilya</t>
  </si>
  <si>
    <t>shandilya.shrishti.2799@gmail.com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</si>
</sst>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"/>
    <numFmt numFmtId="165" formatCode="yyyy-mm-dd h:mm:ss"/>
    <numFmt numFmtId="166" formatCode="m/d/yy"/>
    <numFmt numFmtId="167" formatCode="mm/dd/yy h:mm"/>
  </numFmts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9" xfId="0" applyAlignment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2" numFmtId="167" xfId="0" applyAlignment="1" applyFont="1" applyNumberForma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6" max="36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 t="s">
        <v>37</v>
      </c>
      <c r="B2" s="3">
        <v>37077.0</v>
      </c>
      <c r="C2" s="4">
        <v>45723.0</v>
      </c>
      <c r="D2" s="3" t="s">
        <v>38</v>
      </c>
      <c r="E2" s="2" t="s">
        <v>39</v>
      </c>
      <c r="F2" s="3">
        <v>2294.0</v>
      </c>
      <c r="G2" s="2" t="s">
        <v>40</v>
      </c>
      <c r="H2" s="5">
        <v>41885.2112037037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6"/>
      <c r="O2" s="2" t="s">
        <v>46</v>
      </c>
      <c r="P2" s="4">
        <v>46115.0</v>
      </c>
      <c r="Q2" s="4">
        <v>46145.0</v>
      </c>
      <c r="R2" s="3">
        <v>1694.0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3">
        <v>8.0</v>
      </c>
      <c r="AA2" s="2" t="s">
        <v>54</v>
      </c>
      <c r="AB2" s="3">
        <v>17.0</v>
      </c>
      <c r="AC2" s="3">
        <v>17.0</v>
      </c>
      <c r="AD2" s="7">
        <v>0.9412</v>
      </c>
      <c r="AE2" s="3">
        <v>32.0</v>
      </c>
      <c r="AF2" s="3">
        <v>2.0</v>
      </c>
      <c r="AG2" s="3">
        <v>0.0</v>
      </c>
      <c r="AH2" s="3">
        <v>1.0</v>
      </c>
      <c r="AI2" s="3">
        <v>1.0</v>
      </c>
      <c r="AJ2" s="3">
        <v>0.0</v>
      </c>
      <c r="AK2" s="3">
        <v>2.0</v>
      </c>
    </row>
    <row r="3">
      <c r="A3" s="2" t="s">
        <v>37</v>
      </c>
      <c r="B3" s="3">
        <v>40191.0</v>
      </c>
      <c r="C3" s="3" t="s">
        <v>55</v>
      </c>
      <c r="D3" s="3" t="s">
        <v>38</v>
      </c>
      <c r="E3" s="2" t="s">
        <v>39</v>
      </c>
      <c r="F3" s="3">
        <v>88329.0</v>
      </c>
      <c r="G3" s="2" t="s">
        <v>56</v>
      </c>
      <c r="H3" s="5">
        <v>46048.76006944444</v>
      </c>
      <c r="I3" s="2" t="s">
        <v>57</v>
      </c>
      <c r="J3" s="2" t="s">
        <v>58</v>
      </c>
      <c r="K3" s="2" t="s">
        <v>59</v>
      </c>
      <c r="L3" s="2" t="s">
        <v>44</v>
      </c>
      <c r="M3" s="2" t="s">
        <v>60</v>
      </c>
      <c r="N3" s="2" t="s">
        <v>61</v>
      </c>
      <c r="O3" s="2" t="s">
        <v>62</v>
      </c>
      <c r="P3" s="4">
        <v>46176.0</v>
      </c>
      <c r="Q3" s="3" t="s">
        <v>63</v>
      </c>
      <c r="R3" s="3">
        <v>1791.0</v>
      </c>
      <c r="S3" s="2" t="s">
        <v>64</v>
      </c>
      <c r="T3" s="2" t="s">
        <v>65</v>
      </c>
      <c r="U3" s="2" t="s">
        <v>66</v>
      </c>
      <c r="V3" s="2" t="s">
        <v>67</v>
      </c>
      <c r="W3" s="2" t="s">
        <v>68</v>
      </c>
      <c r="X3" s="2" t="s">
        <v>69</v>
      </c>
      <c r="Y3" s="2" t="s">
        <v>53</v>
      </c>
      <c r="Z3" s="3">
        <v>8.0</v>
      </c>
      <c r="AA3" s="2" t="s">
        <v>70</v>
      </c>
      <c r="AB3" s="3">
        <v>35.0</v>
      </c>
      <c r="AC3" s="3">
        <v>35.0</v>
      </c>
      <c r="AD3" s="7">
        <v>1.0</v>
      </c>
      <c r="AE3" s="3">
        <v>245.0</v>
      </c>
      <c r="AF3" s="3">
        <v>7.0</v>
      </c>
      <c r="AG3" s="3">
        <v>0.0</v>
      </c>
      <c r="AH3" s="3">
        <v>5.0</v>
      </c>
      <c r="AI3" s="3">
        <v>2.0</v>
      </c>
      <c r="AJ3" s="3">
        <v>0.0</v>
      </c>
      <c r="AK3" s="3">
        <v>7.0</v>
      </c>
    </row>
    <row r="4">
      <c r="A4" s="2" t="s">
        <v>37</v>
      </c>
      <c r="B4" s="3">
        <v>36840.0</v>
      </c>
      <c r="C4" s="3" t="s">
        <v>71</v>
      </c>
      <c r="D4" s="3" t="s">
        <v>38</v>
      </c>
      <c r="E4" s="2" t="s">
        <v>72</v>
      </c>
      <c r="F4" s="3">
        <v>79688.0</v>
      </c>
      <c r="G4" s="2" t="s">
        <v>73</v>
      </c>
      <c r="H4" s="5">
        <v>45672.452199074076</v>
      </c>
      <c r="I4" s="2" t="s">
        <v>57</v>
      </c>
      <c r="J4" s="2" t="s">
        <v>74</v>
      </c>
      <c r="K4" s="2" t="s">
        <v>75</v>
      </c>
      <c r="L4" s="2" t="s">
        <v>76</v>
      </c>
      <c r="M4" s="2" t="s">
        <v>77</v>
      </c>
      <c r="N4" s="2" t="s">
        <v>78</v>
      </c>
      <c r="O4" s="2" t="s">
        <v>79</v>
      </c>
      <c r="P4" s="4">
        <v>46084.0</v>
      </c>
      <c r="Q4" s="4">
        <v>46145.0</v>
      </c>
      <c r="R4" s="3">
        <v>1761.0</v>
      </c>
      <c r="S4" s="2" t="s">
        <v>80</v>
      </c>
      <c r="T4" s="2" t="s">
        <v>81</v>
      </c>
      <c r="U4" s="2" t="s">
        <v>82</v>
      </c>
      <c r="V4" s="2" t="s">
        <v>83</v>
      </c>
      <c r="W4" s="2" t="s">
        <v>68</v>
      </c>
      <c r="X4" s="2" t="s">
        <v>69</v>
      </c>
      <c r="Y4" s="2" t="s">
        <v>53</v>
      </c>
      <c r="Z4" s="3">
        <v>9.0</v>
      </c>
      <c r="AA4" s="2" t="s">
        <v>84</v>
      </c>
      <c r="AB4" s="3">
        <v>34.0</v>
      </c>
      <c r="AC4" s="3">
        <v>34.0</v>
      </c>
      <c r="AD4" s="7">
        <v>0.9118</v>
      </c>
      <c r="AE4" s="3">
        <v>62.0</v>
      </c>
      <c r="AF4" s="3">
        <v>2.0</v>
      </c>
      <c r="AG4" s="3">
        <v>0.0</v>
      </c>
      <c r="AH4" s="3">
        <v>0.0</v>
      </c>
      <c r="AI4" s="3">
        <v>2.0</v>
      </c>
      <c r="AJ4" s="3">
        <v>0.0</v>
      </c>
      <c r="AK4" s="3">
        <v>2.0</v>
      </c>
    </row>
    <row r="5">
      <c r="A5" s="2" t="s">
        <v>37</v>
      </c>
      <c r="B5" s="3">
        <v>37384.0</v>
      </c>
      <c r="C5" s="3" t="s">
        <v>85</v>
      </c>
      <c r="D5" s="3" t="s">
        <v>38</v>
      </c>
      <c r="E5" s="2" t="s">
        <v>39</v>
      </c>
      <c r="F5" s="3">
        <v>80994.0</v>
      </c>
      <c r="G5" s="2" t="s">
        <v>86</v>
      </c>
      <c r="H5" s="5">
        <v>45766.69949074074</v>
      </c>
      <c r="I5" s="2" t="s">
        <v>57</v>
      </c>
      <c r="J5" s="2" t="s">
        <v>87</v>
      </c>
      <c r="K5" s="2" t="s">
        <v>88</v>
      </c>
      <c r="L5" s="2" t="s">
        <v>44</v>
      </c>
      <c r="M5" s="2" t="s">
        <v>89</v>
      </c>
      <c r="N5" s="2" t="s">
        <v>90</v>
      </c>
      <c r="O5" s="2" t="s">
        <v>91</v>
      </c>
      <c r="P5" s="4">
        <v>46268.0</v>
      </c>
      <c r="Q5" s="3" t="s">
        <v>92</v>
      </c>
      <c r="R5" s="3">
        <v>1973.0</v>
      </c>
      <c r="S5" s="2" t="s">
        <v>93</v>
      </c>
      <c r="T5" s="2" t="s">
        <v>88</v>
      </c>
      <c r="U5" s="2" t="s">
        <v>94</v>
      </c>
      <c r="V5" s="2" t="s">
        <v>95</v>
      </c>
      <c r="W5" s="2" t="s">
        <v>51</v>
      </c>
      <c r="X5" s="2" t="s">
        <v>96</v>
      </c>
      <c r="Y5" s="2" t="s">
        <v>53</v>
      </c>
      <c r="Z5" s="3">
        <v>7.0</v>
      </c>
      <c r="AA5" s="2" t="s">
        <v>54</v>
      </c>
      <c r="AB5" s="3">
        <v>54.0</v>
      </c>
      <c r="AC5" s="3">
        <v>54.0</v>
      </c>
      <c r="AD5" s="7">
        <v>0.5772</v>
      </c>
      <c r="AE5" s="3">
        <v>187.0</v>
      </c>
      <c r="AF5" s="3">
        <v>6.0</v>
      </c>
      <c r="AG5" s="3">
        <v>0.0</v>
      </c>
      <c r="AH5" s="3">
        <v>6.0</v>
      </c>
      <c r="AI5" s="3">
        <v>0.0</v>
      </c>
      <c r="AJ5" s="3">
        <v>0.0</v>
      </c>
      <c r="AK5" s="3">
        <v>6.0</v>
      </c>
    </row>
    <row r="6">
      <c r="A6" s="2" t="s">
        <v>37</v>
      </c>
      <c r="B6" s="3">
        <v>40210.0</v>
      </c>
      <c r="C6" s="3" t="s">
        <v>55</v>
      </c>
      <c r="D6" s="3" t="s">
        <v>38</v>
      </c>
      <c r="E6" s="2" t="s">
        <v>39</v>
      </c>
      <c r="F6" s="3">
        <v>88677.0</v>
      </c>
      <c r="G6" s="2" t="s">
        <v>97</v>
      </c>
      <c r="H6" s="5">
        <v>46069.648831018516</v>
      </c>
      <c r="I6" s="2" t="s">
        <v>98</v>
      </c>
      <c r="J6" s="2" t="s">
        <v>42</v>
      </c>
      <c r="K6" s="2" t="s">
        <v>43</v>
      </c>
      <c r="L6" s="2" t="s">
        <v>44</v>
      </c>
      <c r="M6" s="2" t="s">
        <v>99</v>
      </c>
      <c r="N6" s="2" t="s">
        <v>100</v>
      </c>
      <c r="O6" s="2" t="s">
        <v>101</v>
      </c>
      <c r="P6" s="4">
        <v>46268.0</v>
      </c>
      <c r="Q6" s="3" t="s">
        <v>102</v>
      </c>
      <c r="R6" s="3">
        <v>1784.0</v>
      </c>
      <c r="S6" s="2" t="s">
        <v>103</v>
      </c>
      <c r="T6" s="2" t="s">
        <v>65</v>
      </c>
      <c r="U6" s="2" t="s">
        <v>104</v>
      </c>
      <c r="V6" s="2" t="s">
        <v>67</v>
      </c>
      <c r="W6" s="2" t="s">
        <v>68</v>
      </c>
      <c r="X6" s="2" t="s">
        <v>69</v>
      </c>
      <c r="Y6" s="2" t="s">
        <v>53</v>
      </c>
      <c r="Z6" s="3">
        <v>6.0</v>
      </c>
      <c r="AA6" s="2" t="s">
        <v>105</v>
      </c>
      <c r="AB6" s="3">
        <v>17.0</v>
      </c>
      <c r="AC6" s="3">
        <v>17.0</v>
      </c>
      <c r="AD6" s="7">
        <v>1.0</v>
      </c>
      <c r="AE6" s="3">
        <v>85.0</v>
      </c>
      <c r="AF6" s="3">
        <v>5.0</v>
      </c>
      <c r="AG6" s="3">
        <v>0.0</v>
      </c>
      <c r="AH6" s="3">
        <v>5.0</v>
      </c>
      <c r="AI6" s="3">
        <v>0.0</v>
      </c>
      <c r="AJ6" s="3">
        <v>0.0</v>
      </c>
      <c r="AK6" s="3">
        <v>5.0</v>
      </c>
    </row>
    <row r="7">
      <c r="A7" s="2" t="s">
        <v>37</v>
      </c>
      <c r="B7" s="3">
        <v>38821.0</v>
      </c>
      <c r="C7" s="3" t="s">
        <v>106</v>
      </c>
      <c r="D7" s="3" t="s">
        <v>38</v>
      </c>
      <c r="E7" s="2" t="s">
        <v>39</v>
      </c>
      <c r="F7" s="3">
        <v>84177.0</v>
      </c>
      <c r="G7" s="2" t="s">
        <v>107</v>
      </c>
      <c r="H7" s="5">
        <v>45861.34625</v>
      </c>
      <c r="I7" s="2" t="s">
        <v>108</v>
      </c>
      <c r="J7" s="2" t="s">
        <v>109</v>
      </c>
      <c r="K7" s="2" t="s">
        <v>110</v>
      </c>
      <c r="L7" s="2" t="s">
        <v>44</v>
      </c>
      <c r="M7" s="2" t="s">
        <v>111</v>
      </c>
      <c r="N7" s="2" t="s">
        <v>112</v>
      </c>
      <c r="O7" s="2" t="s">
        <v>113</v>
      </c>
      <c r="P7" s="4">
        <v>46056.0</v>
      </c>
      <c r="Q7" s="3" t="s">
        <v>92</v>
      </c>
      <c r="R7" s="3">
        <v>1332.0</v>
      </c>
      <c r="S7" s="2" t="s">
        <v>114</v>
      </c>
      <c r="T7" s="2" t="s">
        <v>110</v>
      </c>
      <c r="U7" s="2" t="s">
        <v>115</v>
      </c>
      <c r="V7" s="2" t="s">
        <v>116</v>
      </c>
      <c r="W7" s="2" t="s">
        <v>51</v>
      </c>
      <c r="X7" s="2" t="s">
        <v>117</v>
      </c>
      <c r="Y7" s="2" t="s">
        <v>53</v>
      </c>
      <c r="Z7" s="3">
        <v>6.0</v>
      </c>
      <c r="AA7" s="2" t="s">
        <v>54</v>
      </c>
      <c r="AB7" s="3">
        <v>16.0</v>
      </c>
      <c r="AC7" s="3">
        <v>16.0</v>
      </c>
      <c r="AD7" s="7">
        <v>1.0</v>
      </c>
      <c r="AE7" s="3">
        <v>128.0</v>
      </c>
      <c r="AF7" s="3">
        <v>8.0</v>
      </c>
      <c r="AG7" s="3">
        <v>0.0</v>
      </c>
      <c r="AH7" s="3">
        <v>8.0</v>
      </c>
      <c r="AI7" s="3">
        <v>0.0</v>
      </c>
      <c r="AJ7" s="3">
        <v>0.0</v>
      </c>
      <c r="AK7" s="3">
        <v>8.0</v>
      </c>
    </row>
    <row r="8">
      <c r="A8" s="2" t="s">
        <v>37</v>
      </c>
      <c r="B8" s="3">
        <v>38925.0</v>
      </c>
      <c r="C8" s="4">
        <v>45666.0</v>
      </c>
      <c r="D8" s="3" t="s">
        <v>38</v>
      </c>
      <c r="E8" s="2" t="s">
        <v>72</v>
      </c>
      <c r="F8" s="3">
        <v>84343.0</v>
      </c>
      <c r="G8" s="2" t="s">
        <v>118</v>
      </c>
      <c r="H8" s="5">
        <v>45865.05835648148</v>
      </c>
      <c r="I8" s="2" t="s">
        <v>119</v>
      </c>
      <c r="J8" s="2" t="s">
        <v>120</v>
      </c>
      <c r="K8" s="2" t="s">
        <v>121</v>
      </c>
      <c r="L8" s="2" t="s">
        <v>44</v>
      </c>
      <c r="M8" s="2" t="s">
        <v>60</v>
      </c>
      <c r="N8" s="2" t="s">
        <v>122</v>
      </c>
      <c r="O8" s="2" t="s">
        <v>123</v>
      </c>
      <c r="P8" s="4">
        <v>46056.0</v>
      </c>
      <c r="Q8" s="4">
        <v>46084.0</v>
      </c>
      <c r="R8" s="3">
        <v>1759.0</v>
      </c>
      <c r="S8" s="2" t="s">
        <v>124</v>
      </c>
      <c r="T8" s="2" t="s">
        <v>81</v>
      </c>
      <c r="U8" s="2" t="s">
        <v>82</v>
      </c>
      <c r="V8" s="2" t="s">
        <v>83</v>
      </c>
      <c r="W8" s="2" t="s">
        <v>68</v>
      </c>
      <c r="X8" s="2" t="s">
        <v>69</v>
      </c>
      <c r="Y8" s="2" t="s">
        <v>53</v>
      </c>
      <c r="Z8" s="3">
        <v>9.0</v>
      </c>
      <c r="AA8" s="2" t="s">
        <v>125</v>
      </c>
      <c r="AB8" s="3">
        <v>30.0</v>
      </c>
      <c r="AC8" s="3">
        <v>30.0</v>
      </c>
      <c r="AD8" s="7">
        <v>1.0</v>
      </c>
      <c r="AE8" s="3">
        <v>60.0</v>
      </c>
      <c r="AF8" s="3">
        <v>2.0</v>
      </c>
      <c r="AG8" s="3">
        <v>0.0</v>
      </c>
      <c r="AH8" s="3">
        <v>2.0</v>
      </c>
      <c r="AI8" s="3">
        <v>0.0</v>
      </c>
      <c r="AJ8" s="3">
        <v>0.0</v>
      </c>
      <c r="AK8" s="3">
        <v>2.0</v>
      </c>
    </row>
    <row r="9">
      <c r="A9" s="2" t="s">
        <v>37</v>
      </c>
      <c r="B9" s="3">
        <v>40196.0</v>
      </c>
      <c r="C9" s="3" t="s">
        <v>55</v>
      </c>
      <c r="D9" s="3" t="s">
        <v>38</v>
      </c>
      <c r="E9" s="2" t="s">
        <v>39</v>
      </c>
      <c r="F9" s="3">
        <v>87056.0</v>
      </c>
      <c r="G9" s="2" t="s">
        <v>126</v>
      </c>
      <c r="H9" s="5">
        <v>45986.951377314814</v>
      </c>
      <c r="I9" s="2" t="s">
        <v>57</v>
      </c>
      <c r="J9" s="2" t="s">
        <v>127</v>
      </c>
      <c r="K9" s="2" t="s">
        <v>128</v>
      </c>
      <c r="L9" s="2" t="s">
        <v>44</v>
      </c>
      <c r="M9" s="2" t="s">
        <v>89</v>
      </c>
      <c r="N9" s="2" t="s">
        <v>129</v>
      </c>
      <c r="O9" s="2" t="s">
        <v>130</v>
      </c>
      <c r="P9" s="4">
        <v>46176.0</v>
      </c>
      <c r="Q9" s="3" t="s">
        <v>63</v>
      </c>
      <c r="R9" s="3">
        <v>1774.0</v>
      </c>
      <c r="S9" s="2" t="s">
        <v>131</v>
      </c>
      <c r="T9" s="2" t="s">
        <v>65</v>
      </c>
      <c r="U9" s="2" t="s">
        <v>104</v>
      </c>
      <c r="V9" s="2" t="s">
        <v>67</v>
      </c>
      <c r="W9" s="2" t="s">
        <v>68</v>
      </c>
      <c r="X9" s="2" t="s">
        <v>69</v>
      </c>
      <c r="Y9" s="2" t="s">
        <v>53</v>
      </c>
      <c r="Z9" s="3">
        <v>8.0</v>
      </c>
      <c r="AA9" s="2" t="s">
        <v>70</v>
      </c>
      <c r="AB9" s="3">
        <v>39.0</v>
      </c>
      <c r="AC9" s="3">
        <v>39.0</v>
      </c>
      <c r="AD9" s="7">
        <v>0.9084</v>
      </c>
      <c r="AE9" s="3">
        <v>248.0</v>
      </c>
      <c r="AF9" s="3">
        <v>7.0</v>
      </c>
      <c r="AG9" s="3">
        <v>0.0</v>
      </c>
      <c r="AH9" s="3">
        <v>5.0</v>
      </c>
      <c r="AI9" s="3">
        <v>2.0</v>
      </c>
      <c r="AJ9" s="3">
        <v>0.0</v>
      </c>
      <c r="AK9" s="3">
        <v>7.0</v>
      </c>
    </row>
    <row r="10">
      <c r="A10" s="2" t="s">
        <v>37</v>
      </c>
      <c r="B10" s="3">
        <v>40197.0</v>
      </c>
      <c r="C10" s="3" t="s">
        <v>55</v>
      </c>
      <c r="D10" s="3" t="s">
        <v>38</v>
      </c>
      <c r="E10" s="2" t="s">
        <v>39</v>
      </c>
      <c r="F10" s="3">
        <v>88640.0</v>
      </c>
      <c r="G10" s="2" t="s">
        <v>132</v>
      </c>
      <c r="H10" s="5">
        <v>46067.558333333334</v>
      </c>
      <c r="I10" s="2" t="s">
        <v>98</v>
      </c>
      <c r="J10" s="2" t="s">
        <v>42</v>
      </c>
      <c r="K10" s="2" t="s">
        <v>43</v>
      </c>
      <c r="L10" s="2" t="s">
        <v>44</v>
      </c>
      <c r="M10" s="2" t="s">
        <v>60</v>
      </c>
      <c r="N10" s="2" t="s">
        <v>100</v>
      </c>
      <c r="O10" s="2" t="s">
        <v>133</v>
      </c>
      <c r="P10" s="4">
        <v>46268.0</v>
      </c>
      <c r="Q10" s="3" t="s">
        <v>102</v>
      </c>
      <c r="R10" s="3">
        <v>1774.0</v>
      </c>
      <c r="S10" s="2" t="s">
        <v>131</v>
      </c>
      <c r="T10" s="2" t="s">
        <v>65</v>
      </c>
      <c r="U10" s="2" t="s">
        <v>104</v>
      </c>
      <c r="V10" s="2" t="s">
        <v>67</v>
      </c>
      <c r="W10" s="2" t="s">
        <v>68</v>
      </c>
      <c r="X10" s="2" t="s">
        <v>69</v>
      </c>
      <c r="Y10" s="2" t="s">
        <v>53</v>
      </c>
      <c r="Z10" s="3">
        <v>7.0</v>
      </c>
      <c r="AA10" s="2" t="s">
        <v>134</v>
      </c>
      <c r="AB10" s="3">
        <v>31.0</v>
      </c>
      <c r="AC10" s="3">
        <v>31.0</v>
      </c>
      <c r="AD10" s="7">
        <v>0.9548</v>
      </c>
      <c r="AE10" s="3">
        <v>148.0</v>
      </c>
      <c r="AF10" s="3">
        <v>5.0</v>
      </c>
      <c r="AG10" s="3">
        <v>0.0</v>
      </c>
      <c r="AH10" s="3">
        <v>5.0</v>
      </c>
      <c r="AI10" s="3">
        <v>0.0</v>
      </c>
      <c r="AJ10" s="3">
        <v>0.0</v>
      </c>
      <c r="AK10" s="3">
        <v>5.0</v>
      </c>
    </row>
    <row r="11">
      <c r="A11" s="2" t="s">
        <v>37</v>
      </c>
      <c r="B11" s="3">
        <v>36795.0</v>
      </c>
      <c r="C11" s="3" t="s">
        <v>71</v>
      </c>
      <c r="D11" s="3" t="s">
        <v>38</v>
      </c>
      <c r="E11" s="2" t="s">
        <v>72</v>
      </c>
      <c r="F11" s="3">
        <v>73312.0</v>
      </c>
      <c r="G11" s="2" t="s">
        <v>135</v>
      </c>
      <c r="H11" s="5">
        <v>45465.37236111111</v>
      </c>
      <c r="J11" s="2" t="s">
        <v>136</v>
      </c>
      <c r="K11" s="2" t="s">
        <v>65</v>
      </c>
      <c r="L11" s="2" t="s">
        <v>44</v>
      </c>
      <c r="M11" s="2" t="s">
        <v>89</v>
      </c>
      <c r="N11" s="2" t="s">
        <v>137</v>
      </c>
      <c r="O11" s="2" t="s">
        <v>138</v>
      </c>
      <c r="P11" s="4">
        <v>46056.0</v>
      </c>
      <c r="Q11" s="4">
        <v>46056.0</v>
      </c>
      <c r="R11" s="3">
        <v>1762.0</v>
      </c>
      <c r="S11" s="2" t="s">
        <v>139</v>
      </c>
      <c r="T11" s="2" t="s">
        <v>81</v>
      </c>
      <c r="U11" s="2" t="s">
        <v>140</v>
      </c>
      <c r="V11" s="2" t="s">
        <v>83</v>
      </c>
      <c r="W11" s="2" t="s">
        <v>68</v>
      </c>
      <c r="X11" s="2" t="s">
        <v>69</v>
      </c>
      <c r="Y11" s="2" t="s">
        <v>53</v>
      </c>
      <c r="Z11" s="3">
        <v>7.0</v>
      </c>
      <c r="AA11" s="2" t="s">
        <v>141</v>
      </c>
      <c r="AB11" s="3">
        <v>20.0</v>
      </c>
      <c r="AC11" s="3">
        <v>20.0</v>
      </c>
      <c r="AD11" s="7">
        <v>1.0</v>
      </c>
      <c r="AE11" s="3">
        <v>20.0</v>
      </c>
      <c r="AF11" s="3">
        <v>1.0</v>
      </c>
      <c r="AG11" s="3">
        <v>0.0</v>
      </c>
      <c r="AH11" s="3">
        <v>0.0</v>
      </c>
      <c r="AI11" s="3">
        <v>1.0</v>
      </c>
      <c r="AJ11" s="3">
        <v>0.0</v>
      </c>
      <c r="AK11" s="3">
        <v>1.0</v>
      </c>
    </row>
    <row r="12">
      <c r="A12" s="2" t="s">
        <v>37</v>
      </c>
      <c r="B12" s="3">
        <v>38993.0</v>
      </c>
      <c r="C12" s="3" t="s">
        <v>142</v>
      </c>
      <c r="D12" s="5">
        <v>46112.99998842592</v>
      </c>
      <c r="E12" s="2" t="s">
        <v>39</v>
      </c>
      <c r="F12" s="3">
        <v>87176.0</v>
      </c>
      <c r="G12" s="2" t="s">
        <v>143</v>
      </c>
      <c r="H12" s="5">
        <v>45992.99835648148</v>
      </c>
      <c r="I12" s="2" t="s">
        <v>144</v>
      </c>
      <c r="J12" s="2" t="s">
        <v>145</v>
      </c>
      <c r="K12" s="2" t="s">
        <v>59</v>
      </c>
      <c r="L12" s="2" t="s">
        <v>44</v>
      </c>
      <c r="M12" s="2" t="s">
        <v>77</v>
      </c>
      <c r="N12" s="2" t="s">
        <v>100</v>
      </c>
      <c r="O12" s="2" t="s">
        <v>146</v>
      </c>
      <c r="P12" s="4">
        <v>46329.0</v>
      </c>
      <c r="Q12" s="3" t="s">
        <v>147</v>
      </c>
      <c r="R12" s="3">
        <v>1997.0</v>
      </c>
      <c r="S12" s="2" t="s">
        <v>148</v>
      </c>
      <c r="T12" s="2" t="s">
        <v>88</v>
      </c>
      <c r="U12" s="2" t="s">
        <v>149</v>
      </c>
      <c r="V12" s="2" t="s">
        <v>150</v>
      </c>
      <c r="W12" s="2" t="s">
        <v>51</v>
      </c>
      <c r="X12" s="2" t="s">
        <v>96</v>
      </c>
      <c r="Y12" s="2" t="s">
        <v>53</v>
      </c>
      <c r="Z12" s="3">
        <v>8.0</v>
      </c>
      <c r="AA12" s="2" t="s">
        <v>54</v>
      </c>
      <c r="AB12" s="3">
        <v>33.0</v>
      </c>
      <c r="AC12" s="3">
        <v>33.0</v>
      </c>
      <c r="AD12" s="7">
        <v>0.5455</v>
      </c>
      <c r="AE12" s="3">
        <v>72.0</v>
      </c>
      <c r="AF12" s="3">
        <v>4.0</v>
      </c>
      <c r="AG12" s="3">
        <v>0.0</v>
      </c>
      <c r="AH12" s="3">
        <v>4.0</v>
      </c>
      <c r="AI12" s="3">
        <v>0.0</v>
      </c>
      <c r="AJ12" s="3">
        <v>0.0</v>
      </c>
      <c r="AK12" s="3">
        <v>4.0</v>
      </c>
    </row>
    <row r="13">
      <c r="A13" s="2" t="s">
        <v>37</v>
      </c>
      <c r="B13" s="3">
        <v>36796.0</v>
      </c>
      <c r="C13" s="3" t="s">
        <v>71</v>
      </c>
      <c r="D13" s="3" t="s">
        <v>38</v>
      </c>
      <c r="E13" s="2" t="s">
        <v>72</v>
      </c>
      <c r="F13" s="3">
        <v>77196.0</v>
      </c>
      <c r="G13" s="2" t="s">
        <v>151</v>
      </c>
      <c r="H13" s="5">
        <v>45570.487280092595</v>
      </c>
      <c r="I13" s="2" t="s">
        <v>57</v>
      </c>
      <c r="J13" s="2" t="s">
        <v>121</v>
      </c>
      <c r="K13" s="2" t="s">
        <v>121</v>
      </c>
      <c r="L13" s="2" t="s">
        <v>44</v>
      </c>
      <c r="M13" s="2" t="s">
        <v>89</v>
      </c>
      <c r="N13" s="2" t="s">
        <v>152</v>
      </c>
      <c r="O13" s="2" t="s">
        <v>153</v>
      </c>
      <c r="P13" s="4">
        <v>46084.0</v>
      </c>
      <c r="Q13" s="4">
        <v>46145.0</v>
      </c>
      <c r="R13" s="3">
        <v>1762.0</v>
      </c>
      <c r="S13" s="2" t="s">
        <v>139</v>
      </c>
      <c r="T13" s="2" t="s">
        <v>81</v>
      </c>
      <c r="U13" s="2" t="s">
        <v>140</v>
      </c>
      <c r="V13" s="2" t="s">
        <v>83</v>
      </c>
      <c r="W13" s="2" t="s">
        <v>68</v>
      </c>
      <c r="X13" s="2" t="s">
        <v>69</v>
      </c>
      <c r="Y13" s="2" t="s">
        <v>53</v>
      </c>
      <c r="Z13" s="3">
        <v>8.0</v>
      </c>
      <c r="AA13" s="2" t="s">
        <v>141</v>
      </c>
      <c r="AB13" s="3">
        <v>25.0</v>
      </c>
      <c r="AC13" s="3">
        <v>25.0</v>
      </c>
      <c r="AD13" s="7">
        <v>0.84</v>
      </c>
      <c r="AE13" s="3">
        <v>42.0</v>
      </c>
      <c r="AF13" s="3">
        <v>2.0</v>
      </c>
      <c r="AG13" s="3">
        <v>0.0</v>
      </c>
      <c r="AH13" s="3">
        <v>0.0</v>
      </c>
      <c r="AI13" s="3">
        <v>2.0</v>
      </c>
      <c r="AJ13" s="3">
        <v>0.0</v>
      </c>
      <c r="AK13" s="3">
        <v>2.0</v>
      </c>
    </row>
    <row r="14">
      <c r="A14" s="2" t="s">
        <v>37</v>
      </c>
      <c r="B14" s="3">
        <v>39387.0</v>
      </c>
      <c r="C14" s="4">
        <v>45939.0</v>
      </c>
      <c r="D14" s="3" t="s">
        <v>38</v>
      </c>
      <c r="E14" s="2" t="s">
        <v>39</v>
      </c>
      <c r="F14" s="3">
        <v>29312.0</v>
      </c>
      <c r="G14" s="2" t="s">
        <v>154</v>
      </c>
      <c r="H14" s="5">
        <v>43672.19865740741</v>
      </c>
      <c r="I14" s="2" t="s">
        <v>155</v>
      </c>
      <c r="J14" s="2" t="s">
        <v>156</v>
      </c>
      <c r="K14" s="2" t="s">
        <v>59</v>
      </c>
      <c r="L14" s="2" t="s">
        <v>44</v>
      </c>
      <c r="M14" s="2" t="s">
        <v>111</v>
      </c>
      <c r="N14" s="2" t="s">
        <v>157</v>
      </c>
      <c r="O14" s="2" t="s">
        <v>158</v>
      </c>
      <c r="P14" s="4">
        <v>46056.0</v>
      </c>
      <c r="Q14" s="4">
        <v>46084.0</v>
      </c>
      <c r="R14" s="3">
        <v>1806.0</v>
      </c>
      <c r="S14" s="2" t="s">
        <v>159</v>
      </c>
      <c r="T14" s="2" t="s">
        <v>59</v>
      </c>
      <c r="U14" s="2" t="s">
        <v>160</v>
      </c>
      <c r="V14" s="2" t="s">
        <v>161</v>
      </c>
      <c r="W14" s="2" t="s">
        <v>51</v>
      </c>
      <c r="X14" s="2" t="s">
        <v>162</v>
      </c>
      <c r="Y14" s="2" t="s">
        <v>163</v>
      </c>
      <c r="Z14" s="3">
        <v>6.0</v>
      </c>
      <c r="AA14" s="2" t="s">
        <v>164</v>
      </c>
      <c r="AB14" s="3">
        <v>15.0</v>
      </c>
      <c r="AC14" s="3">
        <v>15.0</v>
      </c>
      <c r="AD14" s="7">
        <v>0.6667</v>
      </c>
      <c r="AE14" s="3">
        <v>20.0</v>
      </c>
      <c r="AF14" s="3">
        <v>2.0</v>
      </c>
      <c r="AG14" s="3">
        <v>0.0</v>
      </c>
      <c r="AH14" s="3">
        <v>2.0</v>
      </c>
      <c r="AI14" s="3">
        <v>0.0</v>
      </c>
      <c r="AJ14" s="3">
        <v>0.0</v>
      </c>
      <c r="AK14" s="3">
        <v>2.0</v>
      </c>
    </row>
    <row r="15">
      <c r="A15" s="2" t="s">
        <v>37</v>
      </c>
      <c r="B15" s="3">
        <v>39799.0</v>
      </c>
      <c r="C15" s="3" t="s">
        <v>165</v>
      </c>
      <c r="D15" s="3" t="s">
        <v>38</v>
      </c>
      <c r="E15" s="2" t="s">
        <v>39</v>
      </c>
      <c r="F15" s="3">
        <v>70948.0</v>
      </c>
      <c r="G15" s="2" t="s">
        <v>166</v>
      </c>
      <c r="H15" s="5">
        <v>45294.52877314815</v>
      </c>
      <c r="I15" s="2" t="s">
        <v>57</v>
      </c>
      <c r="J15" s="2" t="s">
        <v>42</v>
      </c>
      <c r="K15" s="2" t="s">
        <v>43</v>
      </c>
      <c r="L15" s="2" t="s">
        <v>44</v>
      </c>
      <c r="M15" s="2" t="s">
        <v>89</v>
      </c>
      <c r="N15" s="2" t="s">
        <v>167</v>
      </c>
      <c r="O15" s="2" t="s">
        <v>168</v>
      </c>
      <c r="P15" s="4">
        <v>46145.0</v>
      </c>
      <c r="Q15" s="3" t="s">
        <v>169</v>
      </c>
      <c r="R15" s="3">
        <v>1061.0</v>
      </c>
      <c r="S15" s="2" t="s">
        <v>170</v>
      </c>
      <c r="T15" s="2" t="s">
        <v>43</v>
      </c>
      <c r="U15" s="2" t="s">
        <v>171</v>
      </c>
      <c r="V15" s="2" t="s">
        <v>150</v>
      </c>
      <c r="W15" s="2" t="s">
        <v>51</v>
      </c>
      <c r="X15" s="2" t="s">
        <v>172</v>
      </c>
      <c r="Y15" s="2" t="s">
        <v>53</v>
      </c>
      <c r="Z15" s="3">
        <v>7.0</v>
      </c>
      <c r="AA15" s="2" t="s">
        <v>54</v>
      </c>
      <c r="AB15" s="3">
        <v>46.0</v>
      </c>
      <c r="AC15" s="3">
        <v>46.0</v>
      </c>
      <c r="AD15" s="7">
        <v>0.9609</v>
      </c>
      <c r="AE15" s="3">
        <v>221.0</v>
      </c>
      <c r="AF15" s="3">
        <v>6.0</v>
      </c>
      <c r="AG15" s="3">
        <v>0.0</v>
      </c>
      <c r="AH15" s="3">
        <v>5.0</v>
      </c>
      <c r="AI15" s="3">
        <v>0.0</v>
      </c>
      <c r="AJ15" s="3">
        <v>1.0</v>
      </c>
      <c r="AK15" s="3">
        <v>5.0</v>
      </c>
    </row>
    <row r="16">
      <c r="A16" s="2" t="s">
        <v>37</v>
      </c>
      <c r="B16" s="3">
        <v>39833.0</v>
      </c>
      <c r="C16" s="4">
        <v>45728.0</v>
      </c>
      <c r="D16" s="3" t="s">
        <v>38</v>
      </c>
      <c r="E16" s="2" t="s">
        <v>72</v>
      </c>
      <c r="F16" s="3">
        <v>51950.0</v>
      </c>
      <c r="G16" s="2" t="s">
        <v>173</v>
      </c>
      <c r="H16" s="5">
        <v>44415.12236111111</v>
      </c>
      <c r="I16" s="2" t="s">
        <v>57</v>
      </c>
      <c r="J16" s="2" t="s">
        <v>174</v>
      </c>
      <c r="K16" s="2" t="s">
        <v>43</v>
      </c>
      <c r="L16" s="2" t="s">
        <v>44</v>
      </c>
      <c r="M16" s="2" t="s">
        <v>111</v>
      </c>
      <c r="N16" s="2" t="s">
        <v>175</v>
      </c>
      <c r="O16" s="2" t="s">
        <v>176</v>
      </c>
      <c r="P16" s="4">
        <v>46176.0</v>
      </c>
      <c r="Q16" s="4">
        <v>46206.0</v>
      </c>
      <c r="R16" s="3">
        <v>2046.0</v>
      </c>
      <c r="S16" s="2" t="s">
        <v>177</v>
      </c>
      <c r="T16" s="2" t="s">
        <v>43</v>
      </c>
      <c r="U16" s="2" t="s">
        <v>178</v>
      </c>
      <c r="V16" s="2" t="s">
        <v>179</v>
      </c>
      <c r="W16" s="2" t="s">
        <v>68</v>
      </c>
      <c r="X16" s="2" t="s">
        <v>172</v>
      </c>
      <c r="Y16" s="2" t="s">
        <v>53</v>
      </c>
      <c r="Z16" s="3">
        <v>7.0</v>
      </c>
      <c r="AA16" s="2" t="s">
        <v>180</v>
      </c>
      <c r="AB16" s="3">
        <v>10.0</v>
      </c>
      <c r="AC16" s="3">
        <v>10.0</v>
      </c>
      <c r="AD16" s="7">
        <v>1.0</v>
      </c>
      <c r="AE16" s="3">
        <v>20.0</v>
      </c>
      <c r="AF16" s="3">
        <v>2.0</v>
      </c>
      <c r="AG16" s="3">
        <v>0.0</v>
      </c>
      <c r="AH16" s="3">
        <v>2.0</v>
      </c>
      <c r="AI16" s="3">
        <v>0.0</v>
      </c>
      <c r="AJ16" s="3">
        <v>0.0</v>
      </c>
      <c r="AK16" s="3">
        <v>2.0</v>
      </c>
    </row>
    <row r="17">
      <c r="A17" s="2" t="s">
        <v>37</v>
      </c>
      <c r="B17" s="3">
        <v>38855.0</v>
      </c>
      <c r="C17" s="3" t="s">
        <v>106</v>
      </c>
      <c r="D17" s="3" t="s">
        <v>38</v>
      </c>
      <c r="E17" s="2" t="s">
        <v>39</v>
      </c>
      <c r="F17" s="3">
        <v>63184.0</v>
      </c>
      <c r="G17" s="2" t="s">
        <v>181</v>
      </c>
      <c r="H17" s="5">
        <v>45026.06496527778</v>
      </c>
      <c r="I17" s="2" t="s">
        <v>57</v>
      </c>
      <c r="J17" s="2" t="s">
        <v>182</v>
      </c>
      <c r="K17" s="2" t="s">
        <v>110</v>
      </c>
      <c r="L17" s="2" t="s">
        <v>44</v>
      </c>
      <c r="M17" s="2" t="s">
        <v>183</v>
      </c>
      <c r="N17" s="2" t="s">
        <v>184</v>
      </c>
      <c r="O17" s="2" t="s">
        <v>185</v>
      </c>
      <c r="P17" s="4">
        <v>46084.0</v>
      </c>
      <c r="Q17" s="4">
        <v>46329.0</v>
      </c>
      <c r="R17" s="3">
        <v>1706.0</v>
      </c>
      <c r="S17" s="2" t="s">
        <v>186</v>
      </c>
      <c r="T17" s="2" t="s">
        <v>110</v>
      </c>
      <c r="U17" s="2" t="s">
        <v>187</v>
      </c>
      <c r="V17" s="2" t="s">
        <v>116</v>
      </c>
      <c r="W17" s="2" t="s">
        <v>51</v>
      </c>
      <c r="X17" s="2" t="s">
        <v>117</v>
      </c>
      <c r="Y17" s="2" t="s">
        <v>188</v>
      </c>
      <c r="Z17" s="3">
        <v>6.0</v>
      </c>
      <c r="AA17" s="2" t="s">
        <v>164</v>
      </c>
      <c r="AB17" s="3">
        <v>26.0</v>
      </c>
      <c r="AC17" s="3">
        <v>26.0</v>
      </c>
      <c r="AD17" s="7">
        <v>1.0</v>
      </c>
      <c r="AE17" s="3">
        <v>104.0</v>
      </c>
      <c r="AF17" s="3">
        <v>4.0</v>
      </c>
      <c r="AG17" s="3">
        <v>0.0</v>
      </c>
      <c r="AH17" s="3">
        <v>4.0</v>
      </c>
      <c r="AI17" s="3">
        <v>0.0</v>
      </c>
      <c r="AJ17" s="3">
        <v>0.0</v>
      </c>
      <c r="AK17" s="3">
        <v>4.0</v>
      </c>
    </row>
    <row r="18">
      <c r="A18" s="2" t="s">
        <v>37</v>
      </c>
      <c r="B18" s="3">
        <v>39747.0</v>
      </c>
      <c r="C18" s="3" t="s">
        <v>189</v>
      </c>
      <c r="D18" s="3" t="s">
        <v>38</v>
      </c>
      <c r="E18" s="2" t="s">
        <v>39</v>
      </c>
      <c r="F18" s="3">
        <v>71235.0</v>
      </c>
      <c r="G18" s="2" t="s">
        <v>190</v>
      </c>
      <c r="H18" s="5">
        <v>45321.84988425926</v>
      </c>
      <c r="I18" s="2" t="s">
        <v>57</v>
      </c>
      <c r="J18" s="2" t="s">
        <v>191</v>
      </c>
      <c r="K18" s="2" t="s">
        <v>110</v>
      </c>
      <c r="L18" s="2" t="s">
        <v>44</v>
      </c>
      <c r="M18" s="2" t="s">
        <v>89</v>
      </c>
      <c r="N18" s="2" t="s">
        <v>192</v>
      </c>
      <c r="O18" s="2" t="s">
        <v>193</v>
      </c>
      <c r="P18" s="4">
        <v>46176.0</v>
      </c>
      <c r="Q18" s="3" t="s">
        <v>194</v>
      </c>
      <c r="R18" s="3">
        <v>1704.0</v>
      </c>
      <c r="S18" s="2" t="s">
        <v>195</v>
      </c>
      <c r="T18" s="2" t="s">
        <v>110</v>
      </c>
      <c r="U18" s="2" t="s">
        <v>187</v>
      </c>
      <c r="V18" s="2" t="s">
        <v>116</v>
      </c>
      <c r="W18" s="2" t="s">
        <v>51</v>
      </c>
      <c r="X18" s="2" t="s">
        <v>117</v>
      </c>
      <c r="Y18" s="2" t="s">
        <v>53</v>
      </c>
      <c r="Z18" s="3">
        <v>8.0</v>
      </c>
      <c r="AA18" s="2" t="s">
        <v>54</v>
      </c>
      <c r="AB18" s="3">
        <v>32.0</v>
      </c>
      <c r="AC18" s="3">
        <v>32.0</v>
      </c>
      <c r="AD18" s="7">
        <v>0.9063</v>
      </c>
      <c r="AE18" s="3">
        <v>58.0</v>
      </c>
      <c r="AF18" s="3">
        <v>4.0</v>
      </c>
      <c r="AG18" s="3">
        <v>0.0</v>
      </c>
      <c r="AH18" s="3">
        <v>2.0</v>
      </c>
      <c r="AI18" s="3">
        <v>0.0</v>
      </c>
      <c r="AJ18" s="3">
        <v>2.0</v>
      </c>
      <c r="AK18" s="3">
        <v>2.0</v>
      </c>
    </row>
    <row r="19">
      <c r="A19" s="2" t="s">
        <v>37</v>
      </c>
      <c r="B19" s="3">
        <v>37045.0</v>
      </c>
      <c r="C19" s="3" t="s">
        <v>196</v>
      </c>
      <c r="D19" s="3" t="s">
        <v>38</v>
      </c>
      <c r="E19" s="2" t="s">
        <v>39</v>
      </c>
      <c r="F19" s="3">
        <v>41375.0</v>
      </c>
      <c r="G19" s="2" t="s">
        <v>197</v>
      </c>
      <c r="H19" s="5">
        <v>44078.4137962963</v>
      </c>
      <c r="I19" s="2" t="s">
        <v>198</v>
      </c>
      <c r="J19" s="2" t="s">
        <v>127</v>
      </c>
      <c r="K19" s="2" t="s">
        <v>128</v>
      </c>
      <c r="L19" s="2" t="s">
        <v>44</v>
      </c>
      <c r="M19" s="2" t="s">
        <v>199</v>
      </c>
      <c r="N19" s="2" t="s">
        <v>200</v>
      </c>
      <c r="O19" s="2" t="s">
        <v>201</v>
      </c>
      <c r="P19" s="4">
        <v>46115.0</v>
      </c>
      <c r="Q19" s="4">
        <v>46359.0</v>
      </c>
      <c r="R19" s="3">
        <v>1696.0</v>
      </c>
      <c r="S19" s="2" t="s">
        <v>202</v>
      </c>
      <c r="T19" s="2" t="s">
        <v>48</v>
      </c>
      <c r="U19" s="2" t="s">
        <v>49</v>
      </c>
      <c r="V19" s="2" t="s">
        <v>50</v>
      </c>
      <c r="W19" s="2" t="s">
        <v>51</v>
      </c>
      <c r="X19" s="2" t="s">
        <v>52</v>
      </c>
      <c r="Y19" s="2" t="s">
        <v>53</v>
      </c>
      <c r="Z19" s="3">
        <v>7.0</v>
      </c>
      <c r="AA19" s="2" t="s">
        <v>54</v>
      </c>
      <c r="AB19" s="3">
        <v>14.0</v>
      </c>
      <c r="AC19" s="3">
        <v>14.0</v>
      </c>
      <c r="AD19" s="7">
        <v>0.9464</v>
      </c>
      <c r="AE19" s="3">
        <v>53.0</v>
      </c>
      <c r="AF19" s="3">
        <v>4.0</v>
      </c>
      <c r="AG19" s="3">
        <v>0.0</v>
      </c>
      <c r="AH19" s="3">
        <v>4.0</v>
      </c>
      <c r="AI19" s="3">
        <v>0.0</v>
      </c>
      <c r="AJ19" s="3">
        <v>0.0</v>
      </c>
      <c r="AK19" s="3">
        <v>4.0</v>
      </c>
    </row>
    <row r="20">
      <c r="A20" s="2" t="s">
        <v>37</v>
      </c>
      <c r="B20" s="3">
        <v>39012.0</v>
      </c>
      <c r="C20" s="3" t="s">
        <v>142</v>
      </c>
      <c r="D20" s="5">
        <v>46112.99998842592</v>
      </c>
      <c r="E20" s="2" t="s">
        <v>39</v>
      </c>
      <c r="F20" s="3">
        <v>62250.0</v>
      </c>
      <c r="G20" s="2" t="s">
        <v>203</v>
      </c>
      <c r="H20" s="5">
        <v>44955.281435185185</v>
      </c>
      <c r="I20" s="2" t="s">
        <v>57</v>
      </c>
      <c r="J20" s="2" t="s">
        <v>204</v>
      </c>
      <c r="K20" s="2" t="s">
        <v>88</v>
      </c>
      <c r="L20" s="2" t="s">
        <v>44</v>
      </c>
      <c r="M20" s="2" t="s">
        <v>205</v>
      </c>
      <c r="N20" s="2" t="s">
        <v>206</v>
      </c>
      <c r="O20" s="2" t="s">
        <v>207</v>
      </c>
      <c r="P20" s="4">
        <v>46268.0</v>
      </c>
      <c r="Q20" s="3" t="s">
        <v>208</v>
      </c>
      <c r="R20" s="3">
        <v>2001.0</v>
      </c>
      <c r="S20" s="2" t="s">
        <v>209</v>
      </c>
      <c r="T20" s="2" t="s">
        <v>88</v>
      </c>
      <c r="U20" s="2" t="s">
        <v>149</v>
      </c>
      <c r="V20" s="2" t="s">
        <v>150</v>
      </c>
      <c r="W20" s="2" t="s">
        <v>51</v>
      </c>
      <c r="X20" s="2" t="s">
        <v>96</v>
      </c>
      <c r="Y20" s="2" t="s">
        <v>210</v>
      </c>
      <c r="Z20" s="3">
        <v>8.0</v>
      </c>
      <c r="AA20" s="2" t="s">
        <v>164</v>
      </c>
      <c r="AB20" s="3">
        <v>18.0</v>
      </c>
      <c r="AC20" s="3">
        <v>18.0</v>
      </c>
      <c r="AD20" s="7">
        <v>0.7027</v>
      </c>
      <c r="AE20" s="3">
        <v>52.0</v>
      </c>
      <c r="AF20" s="3">
        <v>4.0</v>
      </c>
      <c r="AG20" s="3">
        <v>0.0</v>
      </c>
      <c r="AH20" s="3">
        <v>3.0</v>
      </c>
      <c r="AI20" s="3">
        <v>1.0</v>
      </c>
      <c r="AJ20" s="3">
        <v>0.0</v>
      </c>
      <c r="AK20" s="3">
        <v>4.0</v>
      </c>
    </row>
    <row r="21">
      <c r="A21" s="2" t="s">
        <v>37</v>
      </c>
      <c r="B21" s="3">
        <v>38979.0</v>
      </c>
      <c r="C21" s="3" t="s">
        <v>211</v>
      </c>
      <c r="D21" s="5">
        <v>46112.99998842592</v>
      </c>
      <c r="E21" s="2" t="s">
        <v>39</v>
      </c>
      <c r="F21" s="3">
        <v>85791.0</v>
      </c>
      <c r="G21" s="2" t="s">
        <v>212</v>
      </c>
      <c r="H21" s="5">
        <v>45916.65869212963</v>
      </c>
      <c r="I21" s="2" t="s">
        <v>213</v>
      </c>
      <c r="J21" s="2" t="s">
        <v>204</v>
      </c>
      <c r="K21" s="2" t="s">
        <v>88</v>
      </c>
      <c r="L21" s="2" t="s">
        <v>44</v>
      </c>
      <c r="M21" s="2" t="s">
        <v>111</v>
      </c>
      <c r="N21" s="2" t="s">
        <v>214</v>
      </c>
      <c r="O21" s="2" t="s">
        <v>215</v>
      </c>
      <c r="P21" s="3" t="s">
        <v>194</v>
      </c>
      <c r="Q21" s="3" t="s">
        <v>92</v>
      </c>
      <c r="R21" s="3">
        <v>2002.0</v>
      </c>
      <c r="S21" s="2" t="s">
        <v>216</v>
      </c>
      <c r="T21" s="2" t="s">
        <v>88</v>
      </c>
      <c r="U21" s="2" t="s">
        <v>149</v>
      </c>
      <c r="V21" s="2" t="s">
        <v>150</v>
      </c>
      <c r="W21" s="2" t="s">
        <v>51</v>
      </c>
      <c r="X21" s="2" t="s">
        <v>96</v>
      </c>
      <c r="Y21" s="2" t="s">
        <v>53</v>
      </c>
      <c r="Z21" s="3">
        <v>8.0</v>
      </c>
      <c r="AA21" s="2" t="s">
        <v>54</v>
      </c>
      <c r="AB21" s="3">
        <v>6.0</v>
      </c>
      <c r="AC21" s="3">
        <v>6.0</v>
      </c>
      <c r="AD21" s="7">
        <v>0.64</v>
      </c>
      <c r="AE21" s="3">
        <v>16.0</v>
      </c>
      <c r="AF21" s="3">
        <v>4.0</v>
      </c>
      <c r="AG21" s="3">
        <v>0.0</v>
      </c>
      <c r="AH21" s="3">
        <v>4.0</v>
      </c>
      <c r="AI21" s="3">
        <v>0.0</v>
      </c>
      <c r="AJ21" s="3">
        <v>0.0</v>
      </c>
      <c r="AK21" s="3">
        <v>4.0</v>
      </c>
    </row>
    <row r="22">
      <c r="A22" s="2" t="s">
        <v>37</v>
      </c>
      <c r="B22" s="3">
        <v>38999.0</v>
      </c>
      <c r="C22" s="3" t="s">
        <v>142</v>
      </c>
      <c r="D22" s="5">
        <v>46112.99998842592</v>
      </c>
      <c r="E22" s="2" t="s">
        <v>39</v>
      </c>
      <c r="F22" s="3">
        <v>85791.0</v>
      </c>
      <c r="G22" s="2" t="s">
        <v>212</v>
      </c>
      <c r="H22" s="5">
        <v>45916.65869212963</v>
      </c>
      <c r="I22" s="2" t="s">
        <v>213</v>
      </c>
      <c r="J22" s="2" t="s">
        <v>204</v>
      </c>
      <c r="K22" s="2" t="s">
        <v>88</v>
      </c>
      <c r="L22" s="2" t="s">
        <v>44</v>
      </c>
      <c r="M22" s="2" t="s">
        <v>111</v>
      </c>
      <c r="N22" s="2" t="s">
        <v>214</v>
      </c>
      <c r="O22" s="2" t="s">
        <v>215</v>
      </c>
      <c r="P22" s="4">
        <v>46298.0</v>
      </c>
      <c r="Q22" s="3" t="s">
        <v>92</v>
      </c>
      <c r="R22" s="3">
        <v>2003.0</v>
      </c>
      <c r="S22" s="2" t="s">
        <v>217</v>
      </c>
      <c r="T22" s="2" t="s">
        <v>88</v>
      </c>
      <c r="U22" s="2" t="s">
        <v>149</v>
      </c>
      <c r="V22" s="2" t="s">
        <v>150</v>
      </c>
      <c r="W22" s="2" t="s">
        <v>51</v>
      </c>
      <c r="X22" s="2" t="s">
        <v>96</v>
      </c>
      <c r="Y22" s="2" t="s">
        <v>53</v>
      </c>
      <c r="Z22" s="3">
        <v>8.0</v>
      </c>
      <c r="AA22" s="2" t="s">
        <v>54</v>
      </c>
      <c r="AB22" s="3">
        <v>90.0</v>
      </c>
      <c r="AC22" s="3">
        <v>90.0</v>
      </c>
      <c r="AD22" s="7">
        <v>0.1037</v>
      </c>
      <c r="AE22" s="3">
        <v>28.0</v>
      </c>
      <c r="AF22" s="3">
        <v>5.0</v>
      </c>
      <c r="AG22" s="3">
        <v>0.0</v>
      </c>
      <c r="AH22" s="3">
        <v>2.0</v>
      </c>
      <c r="AI22" s="3">
        <v>1.0</v>
      </c>
      <c r="AJ22" s="3">
        <v>2.0</v>
      </c>
      <c r="AK22" s="3">
        <v>3.0</v>
      </c>
    </row>
    <row r="23">
      <c r="A23" s="2" t="s">
        <v>37</v>
      </c>
      <c r="B23" s="3">
        <v>36839.0</v>
      </c>
      <c r="C23" s="3" t="s">
        <v>71</v>
      </c>
      <c r="D23" s="3" t="s">
        <v>38</v>
      </c>
      <c r="E23" s="2" t="s">
        <v>72</v>
      </c>
      <c r="F23" s="3">
        <v>81202.0</v>
      </c>
      <c r="G23" s="2" t="s">
        <v>218</v>
      </c>
      <c r="H23" s="5">
        <v>45780.72119212963</v>
      </c>
      <c r="I23" s="2" t="s">
        <v>57</v>
      </c>
      <c r="J23" s="2" t="s">
        <v>219</v>
      </c>
      <c r="K23" s="2" t="s">
        <v>220</v>
      </c>
      <c r="L23" s="2" t="s">
        <v>44</v>
      </c>
      <c r="M23" s="2" t="s">
        <v>60</v>
      </c>
      <c r="N23" s="2" t="s">
        <v>221</v>
      </c>
      <c r="O23" s="2" t="s">
        <v>222</v>
      </c>
      <c r="P23" s="4">
        <v>46084.0</v>
      </c>
      <c r="Q23" s="4">
        <v>46145.0</v>
      </c>
      <c r="R23" s="3">
        <v>1760.0</v>
      </c>
      <c r="S23" s="2" t="s">
        <v>223</v>
      </c>
      <c r="T23" s="2" t="s">
        <v>81</v>
      </c>
      <c r="U23" s="2" t="s">
        <v>82</v>
      </c>
      <c r="V23" s="2" t="s">
        <v>83</v>
      </c>
      <c r="W23" s="2" t="s">
        <v>68</v>
      </c>
      <c r="X23" s="2" t="s">
        <v>69</v>
      </c>
      <c r="Y23" s="2" t="s">
        <v>53</v>
      </c>
      <c r="Z23" s="3">
        <v>9.0</v>
      </c>
      <c r="AA23" s="2" t="s">
        <v>84</v>
      </c>
      <c r="AB23" s="3">
        <v>18.0</v>
      </c>
      <c r="AC23" s="3">
        <v>18.0</v>
      </c>
      <c r="AD23" s="7">
        <v>0.8889</v>
      </c>
      <c r="AE23" s="3">
        <v>32.0</v>
      </c>
      <c r="AF23" s="3">
        <v>2.0</v>
      </c>
      <c r="AG23" s="3">
        <v>0.0</v>
      </c>
      <c r="AH23" s="3">
        <v>0.0</v>
      </c>
      <c r="AI23" s="3">
        <v>2.0</v>
      </c>
      <c r="AJ23" s="3">
        <v>0.0</v>
      </c>
      <c r="AK23" s="3">
        <v>2.0</v>
      </c>
    </row>
    <row r="24">
      <c r="A24" s="2" t="s">
        <v>37</v>
      </c>
      <c r="B24" s="3">
        <v>36988.0</v>
      </c>
      <c r="C24" s="4">
        <v>45662.0</v>
      </c>
      <c r="D24" s="3" t="s">
        <v>38</v>
      </c>
      <c r="E24" s="2" t="s">
        <v>39</v>
      </c>
      <c r="F24" s="3">
        <v>84335.0</v>
      </c>
      <c r="G24" s="2" t="s">
        <v>224</v>
      </c>
      <c r="H24" s="5">
        <v>45864.723958333336</v>
      </c>
      <c r="I24" s="2" t="s">
        <v>57</v>
      </c>
      <c r="J24" s="2" t="s">
        <v>225</v>
      </c>
      <c r="K24" s="2" t="s">
        <v>226</v>
      </c>
      <c r="L24" s="2" t="s">
        <v>44</v>
      </c>
      <c r="M24" s="2" t="s">
        <v>60</v>
      </c>
      <c r="N24" s="2" t="s">
        <v>227</v>
      </c>
      <c r="O24" s="2" t="s">
        <v>228</v>
      </c>
      <c r="P24" s="4">
        <v>46206.0</v>
      </c>
      <c r="Q24" s="3" t="s">
        <v>229</v>
      </c>
      <c r="R24" s="3">
        <v>1720.0</v>
      </c>
      <c r="S24" s="2" t="s">
        <v>230</v>
      </c>
      <c r="T24" s="2" t="s">
        <v>65</v>
      </c>
      <c r="U24" s="2" t="s">
        <v>104</v>
      </c>
      <c r="V24" s="2" t="s">
        <v>150</v>
      </c>
      <c r="W24" s="2" t="s">
        <v>51</v>
      </c>
      <c r="X24" s="2" t="s">
        <v>69</v>
      </c>
      <c r="Y24" s="2" t="s">
        <v>53</v>
      </c>
      <c r="Z24" s="3">
        <v>7.0</v>
      </c>
      <c r="AA24" s="2" t="s">
        <v>231</v>
      </c>
      <c r="AB24" s="3">
        <v>30.0</v>
      </c>
      <c r="AC24" s="3">
        <v>30.0</v>
      </c>
      <c r="AD24" s="7">
        <v>0.4333</v>
      </c>
      <c r="AE24" s="3">
        <v>39.0</v>
      </c>
      <c r="AF24" s="3">
        <v>3.0</v>
      </c>
      <c r="AG24" s="3">
        <v>0.0</v>
      </c>
      <c r="AH24" s="3">
        <v>2.0</v>
      </c>
      <c r="AI24" s="3">
        <v>1.0</v>
      </c>
      <c r="AJ24" s="3">
        <v>0.0</v>
      </c>
      <c r="AK24" s="3">
        <v>3.0</v>
      </c>
    </row>
    <row r="25">
      <c r="A25" s="2" t="s">
        <v>37</v>
      </c>
      <c r="B25" s="3">
        <v>40190.0</v>
      </c>
      <c r="C25" s="3" t="s">
        <v>55</v>
      </c>
      <c r="D25" s="3" t="s">
        <v>38</v>
      </c>
      <c r="E25" s="2" t="s">
        <v>39</v>
      </c>
      <c r="F25" s="3">
        <v>87664.0</v>
      </c>
      <c r="G25" s="2" t="s">
        <v>232</v>
      </c>
      <c r="H25" s="5">
        <v>46014.48486111111</v>
      </c>
      <c r="I25" s="2" t="s">
        <v>57</v>
      </c>
      <c r="J25" s="2" t="s">
        <v>233</v>
      </c>
      <c r="K25" s="2" t="s">
        <v>65</v>
      </c>
      <c r="L25" s="2" t="s">
        <v>44</v>
      </c>
      <c r="M25" s="2" t="s">
        <v>183</v>
      </c>
      <c r="N25" s="2" t="s">
        <v>234</v>
      </c>
      <c r="O25" s="2" t="s">
        <v>235</v>
      </c>
      <c r="P25" s="4">
        <v>46145.0</v>
      </c>
      <c r="Q25" s="3" t="s">
        <v>236</v>
      </c>
      <c r="R25" s="3">
        <v>1791.0</v>
      </c>
      <c r="S25" s="2" t="s">
        <v>64</v>
      </c>
      <c r="T25" s="2" t="s">
        <v>65</v>
      </c>
      <c r="U25" s="2" t="s">
        <v>66</v>
      </c>
      <c r="V25" s="2" t="s">
        <v>67</v>
      </c>
      <c r="W25" s="2" t="s">
        <v>68</v>
      </c>
      <c r="X25" s="2" t="s">
        <v>69</v>
      </c>
      <c r="Y25" s="2" t="s">
        <v>53</v>
      </c>
      <c r="Z25" s="3">
        <v>6.0</v>
      </c>
      <c r="AA25" s="2" t="s">
        <v>70</v>
      </c>
      <c r="AB25" s="3">
        <v>34.0</v>
      </c>
      <c r="AC25" s="3">
        <v>34.0</v>
      </c>
      <c r="AD25" s="7">
        <v>1.0</v>
      </c>
      <c r="AE25" s="3">
        <v>170.0</v>
      </c>
      <c r="AF25" s="3">
        <v>5.0</v>
      </c>
      <c r="AG25" s="3">
        <v>0.0</v>
      </c>
      <c r="AH25" s="3">
        <v>4.0</v>
      </c>
      <c r="AI25" s="3">
        <v>1.0</v>
      </c>
      <c r="AJ25" s="3">
        <v>0.0</v>
      </c>
      <c r="AK25" s="3">
        <v>5.0</v>
      </c>
    </row>
    <row r="26">
      <c r="A26" s="2" t="s">
        <v>37</v>
      </c>
      <c r="B26" s="3">
        <v>38552.0</v>
      </c>
      <c r="C26" s="4">
        <v>45661.0</v>
      </c>
      <c r="D26" s="3" t="s">
        <v>38</v>
      </c>
      <c r="E26" s="2" t="s">
        <v>39</v>
      </c>
      <c r="F26" s="3">
        <v>85111.0</v>
      </c>
      <c r="G26" s="2" t="s">
        <v>237</v>
      </c>
      <c r="H26" s="5">
        <v>45890.78607638889</v>
      </c>
      <c r="I26" s="2" t="s">
        <v>213</v>
      </c>
      <c r="J26" s="2" t="s">
        <v>42</v>
      </c>
      <c r="K26" s="2" t="s">
        <v>43</v>
      </c>
      <c r="L26" s="2" t="s">
        <v>44</v>
      </c>
      <c r="M26" s="2" t="s">
        <v>111</v>
      </c>
      <c r="N26" s="2" t="s">
        <v>238</v>
      </c>
      <c r="O26" s="2" t="s">
        <v>239</v>
      </c>
      <c r="P26" s="4">
        <v>46176.0</v>
      </c>
      <c r="Q26" s="3" t="s">
        <v>194</v>
      </c>
      <c r="R26" s="3">
        <v>1986.0</v>
      </c>
      <c r="S26" s="2" t="s">
        <v>240</v>
      </c>
      <c r="T26" s="2" t="s">
        <v>65</v>
      </c>
      <c r="U26" s="2" t="s">
        <v>104</v>
      </c>
      <c r="V26" s="2" t="s">
        <v>150</v>
      </c>
      <c r="W26" s="2" t="s">
        <v>51</v>
      </c>
      <c r="X26" s="2" t="s">
        <v>69</v>
      </c>
      <c r="Y26" s="2" t="s">
        <v>53</v>
      </c>
      <c r="Z26" s="3">
        <v>7.0</v>
      </c>
      <c r="AA26" s="2" t="s">
        <v>231</v>
      </c>
      <c r="AB26" s="3">
        <v>42.0</v>
      </c>
      <c r="AC26" s="3">
        <v>42.0</v>
      </c>
      <c r="AD26" s="7">
        <v>0.746</v>
      </c>
      <c r="AE26" s="3">
        <v>94.0</v>
      </c>
      <c r="AF26" s="3">
        <v>3.0</v>
      </c>
      <c r="AG26" s="3">
        <v>0.0</v>
      </c>
      <c r="AH26" s="3">
        <v>2.0</v>
      </c>
      <c r="AI26" s="3">
        <v>1.0</v>
      </c>
      <c r="AJ26" s="3">
        <v>0.0</v>
      </c>
      <c r="AK26" s="3">
        <v>3.0</v>
      </c>
    </row>
    <row r="27">
      <c r="A27" s="2" t="s">
        <v>37</v>
      </c>
      <c r="B27" s="3">
        <v>38850.0</v>
      </c>
      <c r="C27" s="3" t="s">
        <v>106</v>
      </c>
      <c r="D27" s="3" t="s">
        <v>38</v>
      </c>
      <c r="E27" s="2" t="s">
        <v>39</v>
      </c>
      <c r="F27" s="3">
        <v>86607.0</v>
      </c>
      <c r="G27" s="2" t="s">
        <v>241</v>
      </c>
      <c r="H27" s="5">
        <v>45959.499340277776</v>
      </c>
      <c r="I27" s="2" t="s">
        <v>57</v>
      </c>
      <c r="J27" s="2" t="s">
        <v>42</v>
      </c>
      <c r="K27" s="2" t="s">
        <v>43</v>
      </c>
      <c r="L27" s="2" t="s">
        <v>44</v>
      </c>
      <c r="M27" s="2" t="s">
        <v>99</v>
      </c>
      <c r="N27" s="2" t="s">
        <v>242</v>
      </c>
      <c r="O27" s="2" t="s">
        <v>243</v>
      </c>
      <c r="P27" s="4">
        <v>46056.0</v>
      </c>
      <c r="Q27" s="3" t="s">
        <v>236</v>
      </c>
      <c r="R27" s="3">
        <v>1702.0</v>
      </c>
      <c r="S27" s="2" t="s">
        <v>244</v>
      </c>
      <c r="T27" s="2" t="s">
        <v>110</v>
      </c>
      <c r="U27" s="2" t="s">
        <v>187</v>
      </c>
      <c r="V27" s="2" t="s">
        <v>116</v>
      </c>
      <c r="W27" s="2" t="s">
        <v>51</v>
      </c>
      <c r="X27" s="2" t="s">
        <v>117</v>
      </c>
      <c r="Y27" s="2" t="s">
        <v>53</v>
      </c>
      <c r="Z27" s="3">
        <v>6.0</v>
      </c>
      <c r="AA27" s="2" t="s">
        <v>54</v>
      </c>
      <c r="AB27" s="3">
        <v>8.0</v>
      </c>
      <c r="AC27" s="3">
        <v>8.0</v>
      </c>
      <c r="AD27" s="7">
        <v>0.875</v>
      </c>
      <c r="AE27" s="3">
        <v>56.0</v>
      </c>
      <c r="AF27" s="3">
        <v>8.0</v>
      </c>
      <c r="AG27" s="3">
        <v>0.0</v>
      </c>
      <c r="AH27" s="3">
        <v>7.0</v>
      </c>
      <c r="AI27" s="3">
        <v>0.0</v>
      </c>
      <c r="AJ27" s="3">
        <v>1.0</v>
      </c>
      <c r="AK27" s="3">
        <v>7.0</v>
      </c>
    </row>
    <row r="28">
      <c r="A28" s="2" t="s">
        <v>37</v>
      </c>
      <c r="B28" s="3">
        <v>39172.0</v>
      </c>
      <c r="C28" s="4">
        <v>45697.0</v>
      </c>
      <c r="D28" s="3" t="s">
        <v>38</v>
      </c>
      <c r="E28" s="2" t="s">
        <v>72</v>
      </c>
      <c r="F28" s="3">
        <v>80475.0</v>
      </c>
      <c r="G28" s="2" t="s">
        <v>245</v>
      </c>
      <c r="H28" s="5">
        <v>45728.475902777776</v>
      </c>
      <c r="I28" s="2" t="s">
        <v>246</v>
      </c>
      <c r="J28" s="2" t="s">
        <v>42</v>
      </c>
      <c r="K28" s="2" t="s">
        <v>43</v>
      </c>
      <c r="L28" s="2" t="s">
        <v>44</v>
      </c>
      <c r="M28" s="2" t="s">
        <v>111</v>
      </c>
      <c r="N28" s="2" t="s">
        <v>247</v>
      </c>
      <c r="O28" s="2" t="s">
        <v>248</v>
      </c>
      <c r="P28" s="4">
        <v>46084.0</v>
      </c>
      <c r="Q28" s="4">
        <v>46145.0</v>
      </c>
      <c r="R28" s="3">
        <v>2015.0</v>
      </c>
      <c r="S28" s="2" t="s">
        <v>249</v>
      </c>
      <c r="T28" s="2" t="s">
        <v>43</v>
      </c>
      <c r="U28" s="2" t="s">
        <v>250</v>
      </c>
      <c r="V28" s="2" t="s">
        <v>251</v>
      </c>
      <c r="W28" s="2" t="s">
        <v>51</v>
      </c>
      <c r="X28" s="2" t="s">
        <v>172</v>
      </c>
      <c r="Y28" s="2" t="s">
        <v>53</v>
      </c>
      <c r="Z28" s="3">
        <v>8.0</v>
      </c>
      <c r="AA28" s="2" t="s">
        <v>180</v>
      </c>
      <c r="AB28" s="3">
        <v>11.0</v>
      </c>
      <c r="AC28" s="3">
        <v>11.0</v>
      </c>
      <c r="AD28" s="7">
        <v>0.9091</v>
      </c>
      <c r="AE28" s="3">
        <v>20.0</v>
      </c>
      <c r="AF28" s="3">
        <v>2.0</v>
      </c>
      <c r="AG28" s="3">
        <v>0.0</v>
      </c>
      <c r="AH28" s="3">
        <v>2.0</v>
      </c>
      <c r="AI28" s="3">
        <v>0.0</v>
      </c>
      <c r="AJ28" s="3">
        <v>0.0</v>
      </c>
      <c r="AK28" s="3">
        <v>2.0</v>
      </c>
    </row>
    <row r="29">
      <c r="A29" s="2" t="s">
        <v>37</v>
      </c>
      <c r="B29" s="3">
        <v>40212.0</v>
      </c>
      <c r="C29" s="3" t="s">
        <v>55</v>
      </c>
      <c r="D29" s="3" t="s">
        <v>38</v>
      </c>
      <c r="E29" s="2" t="s">
        <v>39</v>
      </c>
      <c r="F29" s="3">
        <v>88626.0</v>
      </c>
      <c r="G29" s="2" t="s">
        <v>252</v>
      </c>
      <c r="H29" s="5">
        <v>46066.61783564815</v>
      </c>
      <c r="I29" s="2" t="s">
        <v>98</v>
      </c>
      <c r="J29" s="2" t="s">
        <v>42</v>
      </c>
      <c r="K29" s="2" t="s">
        <v>43</v>
      </c>
      <c r="L29" s="2" t="s">
        <v>44</v>
      </c>
      <c r="M29" s="2" t="s">
        <v>60</v>
      </c>
      <c r="N29" s="2" t="s">
        <v>253</v>
      </c>
      <c r="O29" s="2" t="s">
        <v>254</v>
      </c>
      <c r="P29" s="4">
        <v>46268.0</v>
      </c>
      <c r="Q29" s="3" t="s">
        <v>102</v>
      </c>
      <c r="R29" s="3">
        <v>1791.0</v>
      </c>
      <c r="S29" s="2" t="s">
        <v>64</v>
      </c>
      <c r="T29" s="2" t="s">
        <v>65</v>
      </c>
      <c r="U29" s="2" t="s">
        <v>66</v>
      </c>
      <c r="V29" s="2" t="s">
        <v>67</v>
      </c>
      <c r="W29" s="2" t="s">
        <v>68</v>
      </c>
      <c r="X29" s="2" t="s">
        <v>69</v>
      </c>
      <c r="Y29" s="2" t="s">
        <v>53</v>
      </c>
      <c r="Z29" s="3">
        <v>6.0</v>
      </c>
      <c r="AA29" s="2" t="s">
        <v>105</v>
      </c>
      <c r="AB29" s="3">
        <v>34.0</v>
      </c>
      <c r="AC29" s="3">
        <v>34.0</v>
      </c>
      <c r="AD29" s="7">
        <v>1.0</v>
      </c>
      <c r="AE29" s="3">
        <v>170.0</v>
      </c>
      <c r="AF29" s="3">
        <v>5.0</v>
      </c>
      <c r="AG29" s="3">
        <v>0.0</v>
      </c>
      <c r="AH29" s="3">
        <v>5.0</v>
      </c>
      <c r="AI29" s="3">
        <v>0.0</v>
      </c>
      <c r="AJ29" s="3">
        <v>0.0</v>
      </c>
      <c r="AK29" s="3">
        <v>5.0</v>
      </c>
    </row>
    <row r="30">
      <c r="A30" s="2" t="s">
        <v>37</v>
      </c>
      <c r="B30" s="3">
        <v>39834.0</v>
      </c>
      <c r="C30" s="4">
        <v>45728.0</v>
      </c>
      <c r="D30" s="3" t="s">
        <v>38</v>
      </c>
      <c r="E30" s="2" t="s">
        <v>72</v>
      </c>
      <c r="F30" s="3">
        <v>87197.0</v>
      </c>
      <c r="G30" s="2" t="s">
        <v>255</v>
      </c>
      <c r="H30" s="5">
        <v>45994.001909722225</v>
      </c>
      <c r="I30" s="2" t="s">
        <v>57</v>
      </c>
      <c r="J30" s="2" t="s">
        <v>42</v>
      </c>
      <c r="K30" s="2" t="s">
        <v>43</v>
      </c>
      <c r="L30" s="2" t="s">
        <v>44</v>
      </c>
      <c r="M30" s="2" t="s">
        <v>256</v>
      </c>
      <c r="N30" s="2" t="s">
        <v>257</v>
      </c>
      <c r="O30" s="2" t="s">
        <v>258</v>
      </c>
      <c r="P30" s="4">
        <v>46056.0</v>
      </c>
      <c r="Q30" s="4">
        <v>46145.0</v>
      </c>
      <c r="R30" s="3">
        <v>2045.0</v>
      </c>
      <c r="S30" s="2" t="s">
        <v>259</v>
      </c>
      <c r="T30" s="2" t="s">
        <v>43</v>
      </c>
      <c r="U30" s="2" t="s">
        <v>178</v>
      </c>
      <c r="V30" s="2" t="s">
        <v>179</v>
      </c>
      <c r="W30" s="2" t="s">
        <v>68</v>
      </c>
      <c r="X30" s="2" t="s">
        <v>172</v>
      </c>
      <c r="Y30" s="2" t="s">
        <v>53</v>
      </c>
      <c r="Z30" s="3">
        <v>5.0</v>
      </c>
      <c r="AA30" s="2" t="s">
        <v>180</v>
      </c>
      <c r="AB30" s="3">
        <v>45.0</v>
      </c>
      <c r="AC30" s="3">
        <v>45.0</v>
      </c>
      <c r="AD30" s="7">
        <v>0.8333</v>
      </c>
      <c r="AE30" s="3">
        <v>75.0</v>
      </c>
      <c r="AF30" s="3">
        <v>2.0</v>
      </c>
      <c r="AG30" s="3">
        <v>0.0</v>
      </c>
      <c r="AH30" s="3">
        <v>2.0</v>
      </c>
      <c r="AI30" s="3">
        <v>0.0</v>
      </c>
      <c r="AJ30" s="3">
        <v>0.0</v>
      </c>
      <c r="AK30" s="3">
        <v>2.0</v>
      </c>
    </row>
    <row r="31">
      <c r="A31" s="2" t="s">
        <v>37</v>
      </c>
      <c r="B31" s="3">
        <v>39746.0</v>
      </c>
      <c r="C31" s="3" t="s">
        <v>189</v>
      </c>
      <c r="D31" s="3" t="s">
        <v>38</v>
      </c>
      <c r="E31" s="2" t="s">
        <v>39</v>
      </c>
      <c r="F31" s="3">
        <v>82759.0</v>
      </c>
      <c r="G31" s="2" t="s">
        <v>260</v>
      </c>
      <c r="H31" s="5">
        <v>45842.34101851852</v>
      </c>
      <c r="I31" s="2" t="s">
        <v>57</v>
      </c>
      <c r="J31" s="2" t="s">
        <v>261</v>
      </c>
      <c r="K31" s="2" t="s">
        <v>110</v>
      </c>
      <c r="L31" s="2" t="s">
        <v>44</v>
      </c>
      <c r="M31" s="2" t="s">
        <v>77</v>
      </c>
      <c r="N31" s="2" t="s">
        <v>262</v>
      </c>
      <c r="O31" s="2" t="s">
        <v>263</v>
      </c>
      <c r="P31" s="4">
        <v>46115.0</v>
      </c>
      <c r="Q31" s="4">
        <v>46359.0</v>
      </c>
      <c r="R31" s="3">
        <v>1704.0</v>
      </c>
      <c r="S31" s="2" t="s">
        <v>195</v>
      </c>
      <c r="T31" s="2" t="s">
        <v>110</v>
      </c>
      <c r="U31" s="2" t="s">
        <v>187</v>
      </c>
      <c r="V31" s="2" t="s">
        <v>116</v>
      </c>
      <c r="W31" s="2" t="s">
        <v>51</v>
      </c>
      <c r="X31" s="2" t="s">
        <v>117</v>
      </c>
      <c r="Y31" s="2" t="s">
        <v>53</v>
      </c>
      <c r="Z31" s="3">
        <v>7.0</v>
      </c>
      <c r="AA31" s="2" t="s">
        <v>54</v>
      </c>
      <c r="AB31" s="3">
        <v>27.0</v>
      </c>
      <c r="AC31" s="3">
        <v>27.0</v>
      </c>
      <c r="AD31" s="7">
        <v>0.8889</v>
      </c>
      <c r="AE31" s="3">
        <v>48.0</v>
      </c>
      <c r="AF31" s="3">
        <v>4.0</v>
      </c>
      <c r="AG31" s="3">
        <v>0.0</v>
      </c>
      <c r="AH31" s="3">
        <v>2.0</v>
      </c>
      <c r="AI31" s="3">
        <v>0.0</v>
      </c>
      <c r="AJ31" s="3">
        <v>2.0</v>
      </c>
      <c r="AK31" s="3">
        <v>2.0</v>
      </c>
    </row>
    <row r="32">
      <c r="A32" s="2" t="s">
        <v>37</v>
      </c>
      <c r="B32" s="3">
        <v>38812.0</v>
      </c>
      <c r="C32" s="3" t="s">
        <v>106</v>
      </c>
      <c r="D32" s="3" t="s">
        <v>38</v>
      </c>
      <c r="E32" s="2" t="s">
        <v>39</v>
      </c>
      <c r="F32" s="3">
        <v>64252.0</v>
      </c>
      <c r="G32" s="2" t="s">
        <v>264</v>
      </c>
      <c r="H32" s="5">
        <v>45075.28885416667</v>
      </c>
      <c r="I32" s="2" t="s">
        <v>265</v>
      </c>
      <c r="J32" s="2" t="s">
        <v>191</v>
      </c>
      <c r="K32" s="2" t="s">
        <v>110</v>
      </c>
      <c r="L32" s="2" t="s">
        <v>44</v>
      </c>
      <c r="M32" s="2" t="s">
        <v>111</v>
      </c>
      <c r="N32" s="2" t="s">
        <v>266</v>
      </c>
      <c r="O32" s="2" t="s">
        <v>267</v>
      </c>
      <c r="P32" s="4">
        <v>46056.0</v>
      </c>
      <c r="Q32" s="4">
        <v>46359.0</v>
      </c>
      <c r="R32" s="3">
        <v>1329.0</v>
      </c>
      <c r="S32" s="2" t="s">
        <v>268</v>
      </c>
      <c r="T32" s="2" t="s">
        <v>110</v>
      </c>
      <c r="U32" s="2" t="s">
        <v>115</v>
      </c>
      <c r="V32" s="2" t="s">
        <v>116</v>
      </c>
      <c r="W32" s="2" t="s">
        <v>51</v>
      </c>
      <c r="X32" s="2" t="s">
        <v>117</v>
      </c>
      <c r="Y32" s="2" t="s">
        <v>53</v>
      </c>
      <c r="Z32" s="3">
        <v>6.0</v>
      </c>
      <c r="AA32" s="2" t="s">
        <v>54</v>
      </c>
      <c r="AB32" s="3">
        <v>17.0</v>
      </c>
      <c r="AC32" s="3">
        <v>17.0</v>
      </c>
      <c r="AD32" s="7">
        <v>1.0</v>
      </c>
      <c r="AE32" s="3">
        <v>68.0</v>
      </c>
      <c r="AF32" s="3">
        <v>4.0</v>
      </c>
      <c r="AG32" s="3">
        <v>0.0</v>
      </c>
      <c r="AH32" s="3">
        <v>4.0</v>
      </c>
      <c r="AI32" s="3">
        <v>0.0</v>
      </c>
      <c r="AJ32" s="3">
        <v>0.0</v>
      </c>
      <c r="AK32" s="3">
        <v>4.0</v>
      </c>
    </row>
    <row r="33">
      <c r="A33" s="2" t="s">
        <v>37</v>
      </c>
      <c r="B33" s="3">
        <v>39839.0</v>
      </c>
      <c r="C33" s="4">
        <v>45728.0</v>
      </c>
      <c r="D33" s="3" t="s">
        <v>38</v>
      </c>
      <c r="E33" s="2" t="s">
        <v>72</v>
      </c>
      <c r="F33" s="3">
        <v>43062.0</v>
      </c>
      <c r="G33" s="2" t="s">
        <v>269</v>
      </c>
      <c r="H33" s="5">
        <v>44123.9528587963</v>
      </c>
      <c r="I33" s="2" t="s">
        <v>57</v>
      </c>
      <c r="J33" s="2" t="s">
        <v>42</v>
      </c>
      <c r="K33" s="2" t="s">
        <v>43</v>
      </c>
      <c r="L33" s="2" t="s">
        <v>44</v>
      </c>
      <c r="M33" s="2" t="s">
        <v>45</v>
      </c>
      <c r="N33" s="2" t="s">
        <v>270</v>
      </c>
      <c r="O33" s="2" t="s">
        <v>271</v>
      </c>
      <c r="P33" s="4">
        <v>46084.0</v>
      </c>
      <c r="Q33" s="4">
        <v>46176.0</v>
      </c>
      <c r="R33" s="3">
        <v>2044.0</v>
      </c>
      <c r="S33" s="2" t="s">
        <v>272</v>
      </c>
      <c r="T33" s="2" t="s">
        <v>43</v>
      </c>
      <c r="U33" s="2" t="s">
        <v>178</v>
      </c>
      <c r="V33" s="2" t="s">
        <v>179</v>
      </c>
      <c r="W33" s="2" t="s">
        <v>68</v>
      </c>
      <c r="X33" s="2" t="s">
        <v>172</v>
      </c>
      <c r="Y33" s="2" t="s">
        <v>53</v>
      </c>
      <c r="Z33" s="3">
        <v>6.0</v>
      </c>
      <c r="AA33" s="2" t="s">
        <v>180</v>
      </c>
      <c r="AB33" s="3">
        <v>22.0</v>
      </c>
      <c r="AC33" s="3">
        <v>22.0</v>
      </c>
      <c r="AD33" s="7">
        <v>0.8409</v>
      </c>
      <c r="AE33" s="3">
        <v>37.0</v>
      </c>
      <c r="AF33" s="3">
        <v>2.0</v>
      </c>
      <c r="AG33" s="3">
        <v>0.0</v>
      </c>
      <c r="AH33" s="3">
        <v>0.0</v>
      </c>
      <c r="AI33" s="3">
        <v>2.0</v>
      </c>
      <c r="AJ33" s="3">
        <v>0.0</v>
      </c>
      <c r="AK33" s="3">
        <v>2.0</v>
      </c>
    </row>
    <row r="34">
      <c r="A34" s="2" t="s">
        <v>37</v>
      </c>
      <c r="B34" s="3">
        <v>39009.0</v>
      </c>
      <c r="C34" s="3" t="s">
        <v>142</v>
      </c>
      <c r="D34" s="5">
        <v>46112.99998842592</v>
      </c>
      <c r="E34" s="2" t="s">
        <v>39</v>
      </c>
      <c r="F34" s="3">
        <v>87837.0</v>
      </c>
      <c r="G34" s="2" t="s">
        <v>273</v>
      </c>
      <c r="H34" s="5">
        <v>46023.91101851852</v>
      </c>
      <c r="I34" s="2" t="s">
        <v>274</v>
      </c>
      <c r="J34" s="2" t="s">
        <v>275</v>
      </c>
      <c r="K34" s="2" t="s">
        <v>59</v>
      </c>
      <c r="L34" s="2" t="s">
        <v>44</v>
      </c>
      <c r="M34" s="2" t="s">
        <v>60</v>
      </c>
      <c r="N34" s="2" t="s">
        <v>61</v>
      </c>
      <c r="O34" s="2" t="s">
        <v>276</v>
      </c>
      <c r="P34" s="4">
        <v>46329.0</v>
      </c>
      <c r="Q34" s="3" t="s">
        <v>147</v>
      </c>
      <c r="R34" s="3">
        <v>2001.0</v>
      </c>
      <c r="S34" s="2" t="s">
        <v>209</v>
      </c>
      <c r="T34" s="2" t="s">
        <v>88</v>
      </c>
      <c r="U34" s="2" t="s">
        <v>149</v>
      </c>
      <c r="V34" s="2" t="s">
        <v>150</v>
      </c>
      <c r="W34" s="2" t="s">
        <v>51</v>
      </c>
      <c r="X34" s="2" t="s">
        <v>96</v>
      </c>
      <c r="Y34" s="2" t="s">
        <v>53</v>
      </c>
      <c r="Z34" s="3">
        <v>8.0</v>
      </c>
      <c r="AA34" s="2" t="s">
        <v>54</v>
      </c>
      <c r="AB34" s="3">
        <v>18.0</v>
      </c>
      <c r="AC34" s="3">
        <v>18.0</v>
      </c>
      <c r="AD34" s="7">
        <v>0.6892</v>
      </c>
      <c r="AE34" s="3">
        <v>51.0</v>
      </c>
      <c r="AF34" s="3">
        <v>4.0</v>
      </c>
      <c r="AG34" s="3">
        <v>0.0</v>
      </c>
      <c r="AH34" s="3">
        <v>1.0</v>
      </c>
      <c r="AI34" s="3">
        <v>3.0</v>
      </c>
      <c r="AJ34" s="3">
        <v>0.0</v>
      </c>
      <c r="AK34" s="3">
        <v>4.0</v>
      </c>
    </row>
    <row r="35">
      <c r="A35" s="2" t="s">
        <v>37</v>
      </c>
      <c r="B35" s="3">
        <v>40208.0</v>
      </c>
      <c r="C35" s="3" t="s">
        <v>55</v>
      </c>
      <c r="D35" s="3" t="s">
        <v>38</v>
      </c>
      <c r="E35" s="2" t="s">
        <v>39</v>
      </c>
      <c r="F35" s="3">
        <v>73503.0</v>
      </c>
      <c r="G35" s="2" t="s">
        <v>277</v>
      </c>
      <c r="H35" s="5">
        <v>45471.50630787037</v>
      </c>
      <c r="I35" s="2" t="s">
        <v>278</v>
      </c>
      <c r="J35" s="2" t="s">
        <v>204</v>
      </c>
      <c r="K35" s="2" t="s">
        <v>88</v>
      </c>
      <c r="L35" s="2" t="s">
        <v>44</v>
      </c>
      <c r="M35" s="2" t="s">
        <v>111</v>
      </c>
      <c r="N35" s="6"/>
      <c r="O35" s="2" t="s">
        <v>279</v>
      </c>
      <c r="P35" s="4">
        <v>46268.0</v>
      </c>
      <c r="Q35" s="3" t="s">
        <v>102</v>
      </c>
      <c r="R35" s="3">
        <v>1785.0</v>
      </c>
      <c r="S35" s="2" t="s">
        <v>280</v>
      </c>
      <c r="T35" s="2" t="s">
        <v>65</v>
      </c>
      <c r="U35" s="2" t="s">
        <v>104</v>
      </c>
      <c r="V35" s="2" t="s">
        <v>67</v>
      </c>
      <c r="W35" s="2" t="s">
        <v>68</v>
      </c>
      <c r="X35" s="2" t="s">
        <v>69</v>
      </c>
      <c r="Y35" s="2" t="s">
        <v>53</v>
      </c>
      <c r="Z35" s="3">
        <v>7.0</v>
      </c>
      <c r="AA35" s="2" t="s">
        <v>134</v>
      </c>
      <c r="AB35" s="3">
        <v>34.0</v>
      </c>
      <c r="AC35" s="3">
        <v>34.0</v>
      </c>
      <c r="AD35" s="7">
        <v>0.8235</v>
      </c>
      <c r="AE35" s="3">
        <v>140.0</v>
      </c>
      <c r="AF35" s="3">
        <v>5.0</v>
      </c>
      <c r="AG35" s="3">
        <v>0.0</v>
      </c>
      <c r="AH35" s="3">
        <v>5.0</v>
      </c>
      <c r="AI35" s="3">
        <v>0.0</v>
      </c>
      <c r="AJ35" s="3">
        <v>0.0</v>
      </c>
      <c r="AK35" s="3">
        <v>5.0</v>
      </c>
    </row>
    <row r="36">
      <c r="A36" s="2" t="s">
        <v>37</v>
      </c>
      <c r="B36" s="3">
        <v>36841.0</v>
      </c>
      <c r="C36" s="3" t="s">
        <v>71</v>
      </c>
      <c r="D36" s="3" t="s">
        <v>38</v>
      </c>
      <c r="E36" s="2" t="s">
        <v>72</v>
      </c>
      <c r="F36" s="3">
        <v>67533.0</v>
      </c>
      <c r="G36" s="2" t="s">
        <v>281</v>
      </c>
      <c r="H36" s="5">
        <v>45162.49212962963</v>
      </c>
      <c r="I36" s="2" t="s">
        <v>57</v>
      </c>
      <c r="J36" s="2" t="s">
        <v>282</v>
      </c>
      <c r="K36" s="2" t="s">
        <v>65</v>
      </c>
      <c r="L36" s="2" t="s">
        <v>44</v>
      </c>
      <c r="M36" s="2" t="s">
        <v>60</v>
      </c>
      <c r="N36" s="2" t="s">
        <v>100</v>
      </c>
      <c r="O36" s="2" t="s">
        <v>283</v>
      </c>
      <c r="P36" s="4">
        <v>46084.0</v>
      </c>
      <c r="Q36" s="4">
        <v>46145.0</v>
      </c>
      <c r="R36" s="3">
        <v>1762.0</v>
      </c>
      <c r="S36" s="2" t="s">
        <v>139</v>
      </c>
      <c r="T36" s="2" t="s">
        <v>81</v>
      </c>
      <c r="U36" s="2" t="s">
        <v>140</v>
      </c>
      <c r="V36" s="2" t="s">
        <v>83</v>
      </c>
      <c r="W36" s="2" t="s">
        <v>68</v>
      </c>
      <c r="X36" s="2" t="s">
        <v>69</v>
      </c>
      <c r="Y36" s="2" t="s">
        <v>53</v>
      </c>
      <c r="Z36" s="3">
        <v>9.0</v>
      </c>
      <c r="AA36" s="2" t="s">
        <v>84</v>
      </c>
      <c r="AB36" s="3">
        <v>29.0</v>
      </c>
      <c r="AC36" s="3">
        <v>29.0</v>
      </c>
      <c r="AD36" s="7">
        <v>0.8966</v>
      </c>
      <c r="AE36" s="3">
        <v>52.0</v>
      </c>
      <c r="AF36" s="3">
        <v>2.0</v>
      </c>
      <c r="AG36" s="3">
        <v>0.0</v>
      </c>
      <c r="AH36" s="3">
        <v>1.0</v>
      </c>
      <c r="AI36" s="3">
        <v>1.0</v>
      </c>
      <c r="AJ36" s="3">
        <v>0.0</v>
      </c>
      <c r="AK36" s="3">
        <v>2.0</v>
      </c>
    </row>
    <row r="37">
      <c r="A37" s="2" t="s">
        <v>37</v>
      </c>
      <c r="B37" s="3">
        <v>40200.0</v>
      </c>
      <c r="C37" s="3" t="s">
        <v>55</v>
      </c>
      <c r="D37" s="3" t="s">
        <v>38</v>
      </c>
      <c r="E37" s="2" t="s">
        <v>39</v>
      </c>
      <c r="F37" s="3">
        <v>88765.0</v>
      </c>
      <c r="G37" s="2" t="s">
        <v>284</v>
      </c>
      <c r="H37" s="5">
        <v>46073.83101851852</v>
      </c>
      <c r="I37" s="2" t="s">
        <v>57</v>
      </c>
      <c r="J37" s="2" t="s">
        <v>285</v>
      </c>
      <c r="K37" s="2" t="s">
        <v>286</v>
      </c>
      <c r="L37" s="2" t="s">
        <v>44</v>
      </c>
      <c r="M37" s="2" t="s">
        <v>60</v>
      </c>
      <c r="N37" s="2" t="s">
        <v>287</v>
      </c>
      <c r="O37" s="2" t="s">
        <v>288</v>
      </c>
      <c r="P37" s="4">
        <v>46268.0</v>
      </c>
      <c r="Q37" s="3" t="s">
        <v>102</v>
      </c>
      <c r="R37" s="3">
        <v>1790.0</v>
      </c>
      <c r="S37" s="2" t="s">
        <v>289</v>
      </c>
      <c r="T37" s="2" t="s">
        <v>65</v>
      </c>
      <c r="U37" s="2" t="s">
        <v>66</v>
      </c>
      <c r="V37" s="2" t="s">
        <v>67</v>
      </c>
      <c r="W37" s="2" t="s">
        <v>68</v>
      </c>
      <c r="X37" s="2" t="s">
        <v>69</v>
      </c>
      <c r="Y37" s="2" t="s">
        <v>53</v>
      </c>
      <c r="Z37" s="3">
        <v>6.0</v>
      </c>
      <c r="AA37" s="2" t="s">
        <v>70</v>
      </c>
      <c r="AB37" s="3">
        <v>19.0</v>
      </c>
      <c r="AC37" s="3">
        <v>19.0</v>
      </c>
      <c r="AD37" s="7">
        <v>0.7684</v>
      </c>
      <c r="AE37" s="3">
        <v>73.0</v>
      </c>
      <c r="AF37" s="3">
        <v>5.0</v>
      </c>
      <c r="AG37" s="3">
        <v>0.0</v>
      </c>
      <c r="AH37" s="3">
        <v>5.0</v>
      </c>
      <c r="AI37" s="3">
        <v>0.0</v>
      </c>
      <c r="AJ37" s="3">
        <v>0.0</v>
      </c>
      <c r="AK37" s="3">
        <v>5.0</v>
      </c>
    </row>
    <row r="38">
      <c r="A38" s="2" t="s">
        <v>37</v>
      </c>
      <c r="B38" s="3">
        <v>37054.0</v>
      </c>
      <c r="C38" s="3" t="s">
        <v>196</v>
      </c>
      <c r="D38" s="3" t="s">
        <v>38</v>
      </c>
      <c r="E38" s="2" t="s">
        <v>39</v>
      </c>
      <c r="F38" s="3">
        <v>82270.0</v>
      </c>
      <c r="G38" s="2" t="s">
        <v>290</v>
      </c>
      <c r="H38" s="5">
        <v>45834.44049768519</v>
      </c>
      <c r="I38" s="2" t="s">
        <v>291</v>
      </c>
      <c r="J38" s="2" t="s">
        <v>42</v>
      </c>
      <c r="K38" s="2" t="s">
        <v>43</v>
      </c>
      <c r="L38" s="2" t="s">
        <v>44</v>
      </c>
      <c r="M38" s="2" t="s">
        <v>89</v>
      </c>
      <c r="N38" s="2" t="s">
        <v>292</v>
      </c>
      <c r="O38" s="2" t="s">
        <v>293</v>
      </c>
      <c r="P38" s="4">
        <v>46176.0</v>
      </c>
      <c r="Q38" s="3" t="s">
        <v>194</v>
      </c>
      <c r="R38" s="3">
        <v>1695.0</v>
      </c>
      <c r="S38" s="2" t="s">
        <v>294</v>
      </c>
      <c r="T38" s="2" t="s">
        <v>48</v>
      </c>
      <c r="U38" s="2" t="s">
        <v>49</v>
      </c>
      <c r="V38" s="2" t="s">
        <v>50</v>
      </c>
      <c r="W38" s="2" t="s">
        <v>51</v>
      </c>
      <c r="X38" s="2" t="s">
        <v>52</v>
      </c>
      <c r="Y38" s="2" t="s">
        <v>53</v>
      </c>
      <c r="Z38" s="3">
        <v>6.0</v>
      </c>
      <c r="AA38" s="2" t="s">
        <v>54</v>
      </c>
      <c r="AB38" s="3">
        <v>12.0</v>
      </c>
      <c r="AC38" s="3">
        <v>12.0</v>
      </c>
      <c r="AD38" s="7">
        <v>0.8333</v>
      </c>
      <c r="AE38" s="3">
        <v>30.0</v>
      </c>
      <c r="AF38" s="3">
        <v>3.0</v>
      </c>
      <c r="AG38" s="3">
        <v>0.0</v>
      </c>
      <c r="AH38" s="3">
        <v>3.0</v>
      </c>
      <c r="AI38" s="3">
        <v>0.0</v>
      </c>
      <c r="AJ38" s="3">
        <v>0.0</v>
      </c>
      <c r="AK38" s="3">
        <v>3.0</v>
      </c>
    </row>
    <row r="39">
      <c r="A39" s="2" t="s">
        <v>37</v>
      </c>
      <c r="B39" s="3">
        <v>36856.0</v>
      </c>
      <c r="C39" s="3" t="s">
        <v>71</v>
      </c>
      <c r="D39" s="3" t="s">
        <v>38</v>
      </c>
      <c r="E39" s="2" t="s">
        <v>72</v>
      </c>
      <c r="F39" s="3">
        <v>73206.0</v>
      </c>
      <c r="G39" s="2" t="s">
        <v>295</v>
      </c>
      <c r="H39" s="5">
        <v>45461.54721064815</v>
      </c>
      <c r="I39" s="2" t="s">
        <v>296</v>
      </c>
      <c r="J39" s="2" t="s">
        <v>297</v>
      </c>
      <c r="K39" s="2" t="s">
        <v>81</v>
      </c>
      <c r="L39" s="2" t="s">
        <v>44</v>
      </c>
      <c r="M39" s="2" t="s">
        <v>89</v>
      </c>
      <c r="N39" s="2" t="s">
        <v>298</v>
      </c>
      <c r="O39" s="2" t="s">
        <v>299</v>
      </c>
      <c r="P39" s="4">
        <v>46206.0</v>
      </c>
      <c r="Q39" s="4">
        <v>46206.0</v>
      </c>
      <c r="R39" s="3">
        <v>1764.0</v>
      </c>
      <c r="S39" s="2" t="s">
        <v>300</v>
      </c>
      <c r="T39" s="2" t="s">
        <v>81</v>
      </c>
      <c r="U39" s="2" t="s">
        <v>301</v>
      </c>
      <c r="V39" s="2" t="s">
        <v>83</v>
      </c>
      <c r="W39" s="2" t="s">
        <v>68</v>
      </c>
      <c r="X39" s="2" t="s">
        <v>69</v>
      </c>
      <c r="Y39" s="2" t="s">
        <v>53</v>
      </c>
      <c r="Z39" s="3">
        <v>9.0</v>
      </c>
      <c r="AA39" s="2" t="s">
        <v>84</v>
      </c>
      <c r="AB39" s="3">
        <v>22.0</v>
      </c>
      <c r="AC39" s="3">
        <v>22.0</v>
      </c>
      <c r="AD39" s="7">
        <v>0.8636</v>
      </c>
      <c r="AE39" s="3">
        <v>19.0</v>
      </c>
      <c r="AF39" s="3">
        <v>1.0</v>
      </c>
      <c r="AG39" s="3">
        <v>0.0</v>
      </c>
      <c r="AH39" s="3">
        <v>1.0</v>
      </c>
      <c r="AI39" s="3">
        <v>0.0</v>
      </c>
      <c r="AJ39" s="3">
        <v>0.0</v>
      </c>
      <c r="AK39" s="3">
        <v>1.0</v>
      </c>
    </row>
    <row r="40">
      <c r="A40" s="2" t="s">
        <v>37</v>
      </c>
      <c r="B40" s="3">
        <v>36868.0</v>
      </c>
      <c r="C40" s="3" t="s">
        <v>302</v>
      </c>
      <c r="D40" s="3" t="s">
        <v>38</v>
      </c>
      <c r="E40" s="2" t="s">
        <v>72</v>
      </c>
      <c r="F40" s="3">
        <v>73206.0</v>
      </c>
      <c r="G40" s="2" t="s">
        <v>295</v>
      </c>
      <c r="H40" s="5">
        <v>45461.54721064815</v>
      </c>
      <c r="I40" s="2" t="s">
        <v>296</v>
      </c>
      <c r="J40" s="2" t="s">
        <v>297</v>
      </c>
      <c r="K40" s="2" t="s">
        <v>81</v>
      </c>
      <c r="L40" s="2" t="s">
        <v>44</v>
      </c>
      <c r="M40" s="2" t="s">
        <v>89</v>
      </c>
      <c r="N40" s="2" t="s">
        <v>298</v>
      </c>
      <c r="O40" s="2" t="s">
        <v>299</v>
      </c>
      <c r="P40" s="4">
        <v>46056.0</v>
      </c>
      <c r="Q40" s="4">
        <v>46056.0</v>
      </c>
      <c r="R40" s="3">
        <v>1764.0</v>
      </c>
      <c r="S40" s="2" t="s">
        <v>300</v>
      </c>
      <c r="T40" s="2" t="s">
        <v>81</v>
      </c>
      <c r="U40" s="2" t="s">
        <v>301</v>
      </c>
      <c r="V40" s="2" t="s">
        <v>83</v>
      </c>
      <c r="W40" s="2" t="s">
        <v>68</v>
      </c>
      <c r="X40" s="2" t="s">
        <v>69</v>
      </c>
      <c r="Y40" s="2" t="s">
        <v>53</v>
      </c>
      <c r="Z40" s="3">
        <v>7.0</v>
      </c>
      <c r="AA40" s="2" t="s">
        <v>141</v>
      </c>
      <c r="AB40" s="3">
        <v>30.0</v>
      </c>
      <c r="AC40" s="3">
        <v>30.0</v>
      </c>
      <c r="AD40" s="7">
        <v>0.8667</v>
      </c>
      <c r="AE40" s="3">
        <v>26.0</v>
      </c>
      <c r="AF40" s="3">
        <v>1.0</v>
      </c>
      <c r="AG40" s="3">
        <v>0.0</v>
      </c>
      <c r="AH40" s="3">
        <v>1.0</v>
      </c>
      <c r="AI40" s="3">
        <v>0.0</v>
      </c>
      <c r="AJ40" s="3">
        <v>0.0</v>
      </c>
      <c r="AK40" s="3">
        <v>1.0</v>
      </c>
    </row>
    <row r="41">
      <c r="A41" s="2" t="s">
        <v>37</v>
      </c>
      <c r="B41" s="3">
        <v>36869.0</v>
      </c>
      <c r="C41" s="3" t="s">
        <v>302</v>
      </c>
      <c r="D41" s="3" t="s">
        <v>38</v>
      </c>
      <c r="E41" s="2" t="s">
        <v>72</v>
      </c>
      <c r="F41" s="3">
        <v>73206.0</v>
      </c>
      <c r="G41" s="2" t="s">
        <v>295</v>
      </c>
      <c r="H41" s="5">
        <v>45461.54721064815</v>
      </c>
      <c r="I41" s="2" t="s">
        <v>296</v>
      </c>
      <c r="J41" s="2" t="s">
        <v>297</v>
      </c>
      <c r="K41" s="2" t="s">
        <v>81</v>
      </c>
      <c r="L41" s="2" t="s">
        <v>44</v>
      </c>
      <c r="M41" s="2" t="s">
        <v>89</v>
      </c>
      <c r="N41" s="2" t="s">
        <v>298</v>
      </c>
      <c r="O41" s="2" t="s">
        <v>299</v>
      </c>
      <c r="P41" s="4">
        <v>46206.0</v>
      </c>
      <c r="Q41" s="4">
        <v>46206.0</v>
      </c>
      <c r="R41" s="3">
        <v>1764.0</v>
      </c>
      <c r="S41" s="2" t="s">
        <v>300</v>
      </c>
      <c r="T41" s="2" t="s">
        <v>81</v>
      </c>
      <c r="U41" s="2" t="s">
        <v>301</v>
      </c>
      <c r="V41" s="2" t="s">
        <v>83</v>
      </c>
      <c r="W41" s="2" t="s">
        <v>68</v>
      </c>
      <c r="X41" s="2" t="s">
        <v>69</v>
      </c>
      <c r="Y41" s="2" t="s">
        <v>53</v>
      </c>
      <c r="Z41" s="3">
        <v>8.0</v>
      </c>
      <c r="AA41" s="2" t="s">
        <v>141</v>
      </c>
      <c r="AB41" s="3">
        <v>32.0</v>
      </c>
      <c r="AC41" s="3">
        <v>32.0</v>
      </c>
      <c r="AD41" s="7">
        <v>0.875</v>
      </c>
      <c r="AE41" s="3">
        <v>28.0</v>
      </c>
      <c r="AF41" s="3">
        <v>1.0</v>
      </c>
      <c r="AG41" s="3">
        <v>0.0</v>
      </c>
      <c r="AH41" s="3">
        <v>1.0</v>
      </c>
      <c r="AI41" s="3">
        <v>0.0</v>
      </c>
      <c r="AJ41" s="3">
        <v>0.0</v>
      </c>
      <c r="AK41" s="3">
        <v>1.0</v>
      </c>
    </row>
    <row r="42">
      <c r="A42" s="2" t="s">
        <v>37</v>
      </c>
      <c r="B42" s="3">
        <v>36978.0</v>
      </c>
      <c r="C42" s="4">
        <v>45662.0</v>
      </c>
      <c r="D42" s="3" t="s">
        <v>38</v>
      </c>
      <c r="E42" s="2" t="s">
        <v>72</v>
      </c>
      <c r="F42" s="3">
        <v>73206.0</v>
      </c>
      <c r="G42" s="2" t="s">
        <v>295</v>
      </c>
      <c r="H42" s="5">
        <v>45461.54721064815</v>
      </c>
      <c r="I42" s="2" t="s">
        <v>296</v>
      </c>
      <c r="J42" s="2" t="s">
        <v>297</v>
      </c>
      <c r="K42" s="2" t="s">
        <v>81</v>
      </c>
      <c r="L42" s="2" t="s">
        <v>44</v>
      </c>
      <c r="M42" s="2" t="s">
        <v>89</v>
      </c>
      <c r="N42" s="2" t="s">
        <v>298</v>
      </c>
      <c r="O42" s="2" t="s">
        <v>299</v>
      </c>
      <c r="P42" s="4">
        <v>46056.0</v>
      </c>
      <c r="Q42" s="4">
        <v>46056.0</v>
      </c>
      <c r="R42" s="3">
        <v>1764.0</v>
      </c>
      <c r="S42" s="2" t="s">
        <v>300</v>
      </c>
      <c r="T42" s="2" t="s">
        <v>81</v>
      </c>
      <c r="U42" s="2" t="s">
        <v>301</v>
      </c>
      <c r="V42" s="2" t="s">
        <v>83</v>
      </c>
      <c r="W42" s="2" t="s">
        <v>68</v>
      </c>
      <c r="X42" s="2" t="s">
        <v>69</v>
      </c>
      <c r="Y42" s="2" t="s">
        <v>53</v>
      </c>
      <c r="Z42" s="3">
        <v>6.0</v>
      </c>
      <c r="AA42" s="2" t="s">
        <v>180</v>
      </c>
      <c r="AB42" s="3">
        <v>37.0</v>
      </c>
      <c r="AC42" s="3">
        <v>37.0</v>
      </c>
      <c r="AD42" s="7">
        <v>0.9189</v>
      </c>
      <c r="AE42" s="3">
        <v>34.0</v>
      </c>
      <c r="AF42" s="3">
        <v>1.0</v>
      </c>
      <c r="AG42" s="3">
        <v>0.0</v>
      </c>
      <c r="AH42" s="3">
        <v>1.0</v>
      </c>
      <c r="AI42" s="3">
        <v>0.0</v>
      </c>
      <c r="AJ42" s="3">
        <v>0.0</v>
      </c>
      <c r="AK42" s="3">
        <v>1.0</v>
      </c>
    </row>
    <row r="43">
      <c r="A43" s="2" t="s">
        <v>37</v>
      </c>
      <c r="B43" s="3">
        <v>39100.0</v>
      </c>
      <c r="C43" s="3" t="s">
        <v>303</v>
      </c>
      <c r="D43" s="3" t="s">
        <v>38</v>
      </c>
      <c r="E43" s="2" t="s">
        <v>39</v>
      </c>
      <c r="F43" s="3">
        <v>83932.0</v>
      </c>
      <c r="G43" s="2" t="s">
        <v>304</v>
      </c>
      <c r="H43" s="5">
        <v>45856.73241898148</v>
      </c>
      <c r="I43" s="2" t="s">
        <v>108</v>
      </c>
      <c r="J43" s="2" t="s">
        <v>261</v>
      </c>
      <c r="K43" s="2" t="s">
        <v>110</v>
      </c>
      <c r="L43" s="2" t="s">
        <v>44</v>
      </c>
      <c r="M43" s="2" t="s">
        <v>111</v>
      </c>
      <c r="N43" s="2" t="s">
        <v>305</v>
      </c>
      <c r="O43" s="2" t="s">
        <v>306</v>
      </c>
      <c r="P43" s="4">
        <v>46056.0</v>
      </c>
      <c r="Q43" s="3" t="s">
        <v>194</v>
      </c>
      <c r="R43" s="3">
        <v>1703.0</v>
      </c>
      <c r="S43" s="2" t="s">
        <v>307</v>
      </c>
      <c r="T43" s="2" t="s">
        <v>110</v>
      </c>
      <c r="U43" s="2" t="s">
        <v>187</v>
      </c>
      <c r="V43" s="2" t="s">
        <v>116</v>
      </c>
      <c r="W43" s="2" t="s">
        <v>51</v>
      </c>
      <c r="X43" s="2" t="s">
        <v>117</v>
      </c>
      <c r="Y43" s="2" t="s">
        <v>188</v>
      </c>
      <c r="Z43" s="3">
        <v>6.0</v>
      </c>
      <c r="AA43" s="2" t="s">
        <v>164</v>
      </c>
      <c r="AB43" s="3">
        <v>14.0</v>
      </c>
      <c r="AC43" s="3">
        <v>14.0</v>
      </c>
      <c r="AD43" s="7">
        <v>1.0</v>
      </c>
      <c r="AE43" s="3">
        <v>56.0</v>
      </c>
      <c r="AF43" s="3">
        <v>4.0</v>
      </c>
      <c r="AG43" s="3">
        <v>0.0</v>
      </c>
      <c r="AH43" s="3">
        <v>4.0</v>
      </c>
      <c r="AI43" s="3">
        <v>0.0</v>
      </c>
      <c r="AJ43" s="3">
        <v>0.0</v>
      </c>
      <c r="AK43" s="3">
        <v>4.0</v>
      </c>
    </row>
    <row r="44">
      <c r="A44" s="2" t="s">
        <v>37</v>
      </c>
      <c r="B44" s="3">
        <v>39104.0</v>
      </c>
      <c r="C44" s="3" t="s">
        <v>303</v>
      </c>
      <c r="D44" s="3" t="s">
        <v>38</v>
      </c>
      <c r="E44" s="2" t="s">
        <v>39</v>
      </c>
      <c r="F44" s="3">
        <v>83471.0</v>
      </c>
      <c r="G44" s="2" t="s">
        <v>308</v>
      </c>
      <c r="H44" s="5">
        <v>45853.657013888886</v>
      </c>
      <c r="I44" s="2" t="s">
        <v>108</v>
      </c>
      <c r="J44" s="2" t="s">
        <v>309</v>
      </c>
      <c r="K44" s="2" t="s">
        <v>110</v>
      </c>
      <c r="L44" s="2" t="s">
        <v>44</v>
      </c>
      <c r="M44" s="2" t="s">
        <v>89</v>
      </c>
      <c r="N44" s="2" t="s">
        <v>167</v>
      </c>
      <c r="O44" s="2" t="s">
        <v>310</v>
      </c>
      <c r="P44" s="4">
        <v>46084.0</v>
      </c>
      <c r="Q44" s="4">
        <v>46359.0</v>
      </c>
      <c r="R44" s="3">
        <v>1703.0</v>
      </c>
      <c r="S44" s="2" t="s">
        <v>307</v>
      </c>
      <c r="T44" s="2" t="s">
        <v>110</v>
      </c>
      <c r="U44" s="2" t="s">
        <v>187</v>
      </c>
      <c r="V44" s="2" t="s">
        <v>116</v>
      </c>
      <c r="W44" s="2" t="s">
        <v>51</v>
      </c>
      <c r="X44" s="2" t="s">
        <v>117</v>
      </c>
      <c r="Y44" s="2" t="s">
        <v>188</v>
      </c>
      <c r="Z44" s="3">
        <v>8.0</v>
      </c>
      <c r="AA44" s="2" t="s">
        <v>164</v>
      </c>
      <c r="AB44" s="3">
        <v>12.0</v>
      </c>
      <c r="AC44" s="3">
        <v>12.0</v>
      </c>
      <c r="AD44" s="7">
        <v>1.0</v>
      </c>
      <c r="AE44" s="3">
        <v>48.0</v>
      </c>
      <c r="AF44" s="3">
        <v>4.0</v>
      </c>
      <c r="AG44" s="3">
        <v>0.0</v>
      </c>
      <c r="AH44" s="3">
        <v>4.0</v>
      </c>
      <c r="AI44" s="3">
        <v>0.0</v>
      </c>
      <c r="AJ44" s="3">
        <v>0.0</v>
      </c>
      <c r="AK44" s="3">
        <v>4.0</v>
      </c>
    </row>
    <row r="45">
      <c r="A45" s="2" t="s">
        <v>37</v>
      </c>
      <c r="B45" s="3">
        <v>40076.0</v>
      </c>
      <c r="C45" s="3" t="s">
        <v>311</v>
      </c>
      <c r="D45" s="3" t="s">
        <v>38</v>
      </c>
      <c r="E45" s="2" t="s">
        <v>72</v>
      </c>
      <c r="F45" s="3">
        <v>87135.0</v>
      </c>
      <c r="G45" s="2" t="s">
        <v>312</v>
      </c>
      <c r="H45" s="5">
        <v>45990.86152777778</v>
      </c>
      <c r="I45" s="2" t="s">
        <v>57</v>
      </c>
      <c r="J45" s="2" t="s">
        <v>127</v>
      </c>
      <c r="K45" s="2" t="s">
        <v>128</v>
      </c>
      <c r="L45" s="2" t="s">
        <v>44</v>
      </c>
      <c r="M45" s="2" t="s">
        <v>77</v>
      </c>
      <c r="N45" s="2" t="s">
        <v>313</v>
      </c>
      <c r="O45" s="2" t="s">
        <v>314</v>
      </c>
      <c r="P45" s="4">
        <v>46145.0</v>
      </c>
      <c r="Q45" s="3" t="s">
        <v>194</v>
      </c>
      <c r="R45" s="3">
        <v>2049.0</v>
      </c>
      <c r="S45" s="2" t="s">
        <v>315</v>
      </c>
      <c r="T45" s="2" t="s">
        <v>128</v>
      </c>
      <c r="U45" s="2" t="s">
        <v>316</v>
      </c>
      <c r="V45" s="2" t="s">
        <v>317</v>
      </c>
      <c r="W45" s="2" t="s">
        <v>51</v>
      </c>
      <c r="X45" s="2" t="s">
        <v>52</v>
      </c>
      <c r="Y45" s="2" t="s">
        <v>53</v>
      </c>
      <c r="Z45" s="3">
        <v>8.0</v>
      </c>
      <c r="AA45" s="2" t="s">
        <v>318</v>
      </c>
      <c r="AB45" s="3">
        <v>40.0</v>
      </c>
      <c r="AC45" s="3">
        <v>40.0</v>
      </c>
      <c r="AD45" s="7">
        <v>0.8</v>
      </c>
      <c r="AE45" s="3">
        <v>128.0</v>
      </c>
      <c r="AF45" s="3">
        <v>4.0</v>
      </c>
      <c r="AG45" s="3">
        <v>0.0</v>
      </c>
      <c r="AH45" s="3">
        <v>4.0</v>
      </c>
      <c r="AI45" s="3">
        <v>0.0</v>
      </c>
      <c r="AJ45" s="3">
        <v>0.0</v>
      </c>
      <c r="AK45" s="3">
        <v>4.0</v>
      </c>
    </row>
    <row r="46">
      <c r="A46" s="2" t="s">
        <v>37</v>
      </c>
      <c r="B46" s="3">
        <v>38976.0</v>
      </c>
      <c r="C46" s="3" t="s">
        <v>211</v>
      </c>
      <c r="D46" s="5">
        <v>46112.99998842592</v>
      </c>
      <c r="E46" s="2" t="s">
        <v>39</v>
      </c>
      <c r="F46" s="3">
        <v>74111.0</v>
      </c>
      <c r="G46" s="2" t="s">
        <v>319</v>
      </c>
      <c r="H46" s="5">
        <v>45484.000925925924</v>
      </c>
      <c r="I46" s="2" t="s">
        <v>57</v>
      </c>
      <c r="J46" s="2" t="s">
        <v>156</v>
      </c>
      <c r="K46" s="2" t="s">
        <v>59</v>
      </c>
      <c r="L46" s="2" t="s">
        <v>44</v>
      </c>
      <c r="M46" s="2" t="s">
        <v>77</v>
      </c>
      <c r="N46" s="2" t="s">
        <v>100</v>
      </c>
      <c r="O46" s="2" t="s">
        <v>320</v>
      </c>
      <c r="P46" s="4">
        <v>46268.0</v>
      </c>
      <c r="Q46" s="3" t="s">
        <v>208</v>
      </c>
      <c r="R46" s="3">
        <v>2002.0</v>
      </c>
      <c r="S46" s="2" t="s">
        <v>216</v>
      </c>
      <c r="T46" s="2" t="s">
        <v>88</v>
      </c>
      <c r="U46" s="2" t="s">
        <v>149</v>
      </c>
      <c r="V46" s="2" t="s">
        <v>150</v>
      </c>
      <c r="W46" s="2" t="s">
        <v>51</v>
      </c>
      <c r="X46" s="2" t="s">
        <v>96</v>
      </c>
      <c r="Y46" s="2" t="s">
        <v>210</v>
      </c>
      <c r="Z46" s="3">
        <v>6.0</v>
      </c>
      <c r="AA46" s="2" t="s">
        <v>164</v>
      </c>
      <c r="AB46" s="3">
        <v>10.0</v>
      </c>
      <c r="AC46" s="3">
        <v>10.0</v>
      </c>
      <c r="AD46" s="7">
        <v>0.775</v>
      </c>
      <c r="AE46" s="3">
        <v>31.0</v>
      </c>
      <c r="AF46" s="3">
        <v>4.0</v>
      </c>
      <c r="AG46" s="3">
        <v>0.0</v>
      </c>
      <c r="AH46" s="3">
        <v>4.0</v>
      </c>
      <c r="AI46" s="3">
        <v>0.0</v>
      </c>
      <c r="AJ46" s="3">
        <v>0.0</v>
      </c>
      <c r="AK46" s="3">
        <v>4.0</v>
      </c>
    </row>
    <row r="47">
      <c r="A47" s="2" t="s">
        <v>37</v>
      </c>
      <c r="B47" s="3">
        <v>39585.0</v>
      </c>
      <c r="C47" s="4">
        <v>45667.0</v>
      </c>
      <c r="D47" s="5">
        <v>46112.99998842592</v>
      </c>
      <c r="E47" s="2" t="s">
        <v>39</v>
      </c>
      <c r="F47" s="3">
        <v>74111.0</v>
      </c>
      <c r="G47" s="2" t="s">
        <v>319</v>
      </c>
      <c r="H47" s="5">
        <v>45484.000925925924</v>
      </c>
      <c r="I47" s="2" t="s">
        <v>57</v>
      </c>
      <c r="J47" s="2" t="s">
        <v>156</v>
      </c>
      <c r="K47" s="2" t="s">
        <v>59</v>
      </c>
      <c r="L47" s="2" t="s">
        <v>44</v>
      </c>
      <c r="M47" s="2" t="s">
        <v>77</v>
      </c>
      <c r="N47" s="2" t="s">
        <v>100</v>
      </c>
      <c r="O47" s="2" t="s">
        <v>320</v>
      </c>
      <c r="P47" s="4">
        <v>46298.0</v>
      </c>
      <c r="Q47" s="3" t="s">
        <v>92</v>
      </c>
      <c r="R47" s="3">
        <v>2000.0</v>
      </c>
      <c r="S47" s="2" t="s">
        <v>321</v>
      </c>
      <c r="T47" s="2" t="s">
        <v>88</v>
      </c>
      <c r="U47" s="2" t="s">
        <v>149</v>
      </c>
      <c r="V47" s="2" t="s">
        <v>150</v>
      </c>
      <c r="W47" s="2" t="s">
        <v>51</v>
      </c>
      <c r="X47" s="2" t="s">
        <v>96</v>
      </c>
      <c r="Y47" s="2" t="s">
        <v>210</v>
      </c>
      <c r="Z47" s="3">
        <v>8.0</v>
      </c>
      <c r="AA47" s="2" t="s">
        <v>164</v>
      </c>
      <c r="AB47" s="3">
        <v>30.0</v>
      </c>
      <c r="AC47" s="3">
        <v>30.0</v>
      </c>
      <c r="AD47" s="7">
        <v>0.64</v>
      </c>
      <c r="AE47" s="3">
        <v>96.0</v>
      </c>
      <c r="AF47" s="3">
        <v>5.0</v>
      </c>
      <c r="AG47" s="3">
        <v>0.0</v>
      </c>
      <c r="AH47" s="3">
        <v>5.0</v>
      </c>
      <c r="AI47" s="3">
        <v>0.0</v>
      </c>
      <c r="AJ47" s="3">
        <v>0.0</v>
      </c>
      <c r="AK47" s="3">
        <v>5.0</v>
      </c>
    </row>
    <row r="48">
      <c r="A48" s="2" t="s">
        <v>37</v>
      </c>
      <c r="B48" s="3">
        <v>36797.0</v>
      </c>
      <c r="C48" s="3" t="s">
        <v>71</v>
      </c>
      <c r="D48" s="3" t="s">
        <v>38</v>
      </c>
      <c r="E48" s="2" t="s">
        <v>72</v>
      </c>
      <c r="F48" s="3">
        <v>83317.0</v>
      </c>
      <c r="G48" s="2" t="s">
        <v>322</v>
      </c>
      <c r="H48" s="5">
        <v>45853.64733796296</v>
      </c>
      <c r="I48" s="2" t="s">
        <v>108</v>
      </c>
      <c r="J48" s="2" t="s">
        <v>42</v>
      </c>
      <c r="K48" s="2" t="s">
        <v>43</v>
      </c>
      <c r="L48" s="2" t="s">
        <v>44</v>
      </c>
      <c r="M48" s="2" t="s">
        <v>111</v>
      </c>
      <c r="N48" s="2" t="s">
        <v>323</v>
      </c>
      <c r="O48" s="2" t="s">
        <v>324</v>
      </c>
      <c r="P48" s="4">
        <v>46056.0</v>
      </c>
      <c r="Q48" s="4">
        <v>46056.0</v>
      </c>
      <c r="R48" s="3">
        <v>1763.0</v>
      </c>
      <c r="S48" s="2" t="s">
        <v>325</v>
      </c>
      <c r="T48" s="2" t="s">
        <v>81</v>
      </c>
      <c r="U48" s="2" t="s">
        <v>140</v>
      </c>
      <c r="V48" s="2" t="s">
        <v>83</v>
      </c>
      <c r="W48" s="2" t="s">
        <v>68</v>
      </c>
      <c r="X48" s="2" t="s">
        <v>69</v>
      </c>
      <c r="Y48" s="2" t="s">
        <v>53</v>
      </c>
      <c r="Z48" s="3">
        <v>7.0</v>
      </c>
      <c r="AA48" s="2" t="s">
        <v>141</v>
      </c>
      <c r="AB48" s="3">
        <v>32.0</v>
      </c>
      <c r="AC48" s="3">
        <v>32.0</v>
      </c>
      <c r="AD48" s="7">
        <v>1.0</v>
      </c>
      <c r="AE48" s="3">
        <v>32.0</v>
      </c>
      <c r="AF48" s="3">
        <v>1.0</v>
      </c>
      <c r="AG48" s="3">
        <v>0.0</v>
      </c>
      <c r="AH48" s="3">
        <v>0.0</v>
      </c>
      <c r="AI48" s="3">
        <v>1.0</v>
      </c>
      <c r="AJ48" s="3">
        <v>0.0</v>
      </c>
      <c r="AK48" s="3">
        <v>1.0</v>
      </c>
    </row>
    <row r="49">
      <c r="A49" s="2" t="s">
        <v>37</v>
      </c>
      <c r="B49" s="3">
        <v>38972.0</v>
      </c>
      <c r="C49" s="3" t="s">
        <v>211</v>
      </c>
      <c r="D49" s="5">
        <v>46112.99998842592</v>
      </c>
      <c r="E49" s="2" t="s">
        <v>39</v>
      </c>
      <c r="F49" s="3">
        <v>8447.0</v>
      </c>
      <c r="G49" s="2" t="s">
        <v>326</v>
      </c>
      <c r="H49" s="5">
        <v>42511.25670138889</v>
      </c>
      <c r="I49" s="2" t="s">
        <v>57</v>
      </c>
      <c r="J49" s="2" t="s">
        <v>42</v>
      </c>
      <c r="K49" s="2" t="s">
        <v>43</v>
      </c>
      <c r="L49" s="2" t="s">
        <v>44</v>
      </c>
      <c r="M49" s="2" t="s">
        <v>327</v>
      </c>
      <c r="O49" s="2" t="s">
        <v>328</v>
      </c>
      <c r="P49" s="4">
        <v>46298.0</v>
      </c>
      <c r="Q49" s="3" t="s">
        <v>92</v>
      </c>
      <c r="R49" s="3">
        <v>1996.0</v>
      </c>
      <c r="S49" s="2" t="s">
        <v>329</v>
      </c>
      <c r="T49" s="2" t="s">
        <v>88</v>
      </c>
      <c r="U49" s="2" t="s">
        <v>149</v>
      </c>
      <c r="V49" s="2" t="s">
        <v>150</v>
      </c>
      <c r="W49" s="2" t="s">
        <v>51</v>
      </c>
      <c r="X49" s="2" t="s">
        <v>96</v>
      </c>
      <c r="Y49" s="2" t="s">
        <v>210</v>
      </c>
      <c r="Z49" s="3">
        <v>7.0</v>
      </c>
      <c r="AA49" s="2" t="s">
        <v>164</v>
      </c>
      <c r="AB49" s="3">
        <v>32.0</v>
      </c>
      <c r="AC49" s="3">
        <v>32.0</v>
      </c>
      <c r="AD49" s="7">
        <v>0.925</v>
      </c>
      <c r="AE49" s="3">
        <v>148.0</v>
      </c>
      <c r="AF49" s="3">
        <v>5.0</v>
      </c>
      <c r="AG49" s="3">
        <v>0.0</v>
      </c>
      <c r="AH49" s="3">
        <v>3.0</v>
      </c>
      <c r="AI49" s="3">
        <v>2.0</v>
      </c>
      <c r="AJ49" s="3">
        <v>0.0</v>
      </c>
      <c r="AK49" s="3">
        <v>5.0</v>
      </c>
    </row>
    <row r="50">
      <c r="A50" s="2" t="s">
        <v>37</v>
      </c>
      <c r="B50" s="3">
        <v>40088.0</v>
      </c>
      <c r="C50" s="4">
        <v>45658.0</v>
      </c>
      <c r="D50" s="3" t="s">
        <v>330</v>
      </c>
      <c r="E50" s="2" t="s">
        <v>39</v>
      </c>
      <c r="F50" s="3">
        <v>32811.0</v>
      </c>
      <c r="G50" s="2" t="s">
        <v>331</v>
      </c>
      <c r="H50" s="5">
        <v>43893.200949074075</v>
      </c>
      <c r="I50" s="2" t="s">
        <v>57</v>
      </c>
      <c r="J50" s="2" t="s">
        <v>332</v>
      </c>
      <c r="K50" s="2" t="s">
        <v>65</v>
      </c>
      <c r="L50" s="2" t="s">
        <v>44</v>
      </c>
      <c r="M50" s="2" t="s">
        <v>333</v>
      </c>
      <c r="N50" s="2" t="s">
        <v>334</v>
      </c>
      <c r="O50" s="2" t="s">
        <v>335</v>
      </c>
      <c r="P50" s="4">
        <v>46359.0</v>
      </c>
      <c r="Q50" s="4">
        <v>46359.0</v>
      </c>
      <c r="R50" s="3">
        <v>1698.0</v>
      </c>
      <c r="S50" s="2" t="s">
        <v>336</v>
      </c>
      <c r="T50" s="2" t="s">
        <v>48</v>
      </c>
      <c r="U50" s="2" t="s">
        <v>49</v>
      </c>
      <c r="V50" s="2" t="s">
        <v>50</v>
      </c>
      <c r="W50" s="2" t="s">
        <v>51</v>
      </c>
      <c r="X50" s="2" t="s">
        <v>52</v>
      </c>
      <c r="Y50" s="2" t="s">
        <v>53</v>
      </c>
      <c r="Z50" s="3">
        <v>9.0</v>
      </c>
      <c r="AA50" s="2" t="s">
        <v>70</v>
      </c>
      <c r="AB50" s="3">
        <v>15.0</v>
      </c>
      <c r="AC50" s="3">
        <v>15.0</v>
      </c>
      <c r="AD50" s="7">
        <v>0.8667</v>
      </c>
      <c r="AE50" s="3">
        <v>13.0</v>
      </c>
      <c r="AF50" s="3">
        <v>1.0</v>
      </c>
      <c r="AG50" s="3">
        <v>0.0</v>
      </c>
      <c r="AH50" s="3">
        <v>1.0</v>
      </c>
      <c r="AI50" s="3">
        <v>0.0</v>
      </c>
      <c r="AJ50" s="3">
        <v>0.0</v>
      </c>
      <c r="AK50" s="3">
        <v>1.0</v>
      </c>
    </row>
    <row r="51">
      <c r="A51" s="2" t="s">
        <v>37</v>
      </c>
      <c r="B51" s="3">
        <v>37032.0</v>
      </c>
      <c r="C51" s="3" t="s">
        <v>337</v>
      </c>
      <c r="D51" s="3" t="s">
        <v>38</v>
      </c>
      <c r="E51" s="2" t="s">
        <v>39</v>
      </c>
      <c r="F51" s="3">
        <v>32811.0</v>
      </c>
      <c r="G51" s="2" t="s">
        <v>331</v>
      </c>
      <c r="H51" s="5">
        <v>43893.200949074075</v>
      </c>
      <c r="I51" s="2" t="s">
        <v>57</v>
      </c>
      <c r="J51" s="2" t="s">
        <v>332</v>
      </c>
      <c r="K51" s="2" t="s">
        <v>65</v>
      </c>
      <c r="L51" s="2" t="s">
        <v>44</v>
      </c>
      <c r="M51" s="2" t="s">
        <v>333</v>
      </c>
      <c r="N51" s="2" t="s">
        <v>334</v>
      </c>
      <c r="O51" s="2" t="s">
        <v>335</v>
      </c>
      <c r="P51" s="4">
        <v>46115.0</v>
      </c>
      <c r="Q51" s="3" t="s">
        <v>194</v>
      </c>
      <c r="R51" s="3">
        <v>1697.0</v>
      </c>
      <c r="S51" s="2" t="s">
        <v>338</v>
      </c>
      <c r="T51" s="2" t="s">
        <v>48</v>
      </c>
      <c r="U51" s="2" t="s">
        <v>49</v>
      </c>
      <c r="V51" s="2" t="s">
        <v>50</v>
      </c>
      <c r="W51" s="2" t="s">
        <v>51</v>
      </c>
      <c r="X51" s="2" t="s">
        <v>52</v>
      </c>
      <c r="Y51" s="2" t="s">
        <v>53</v>
      </c>
      <c r="Z51" s="3">
        <v>7.0</v>
      </c>
      <c r="AA51" s="2" t="s">
        <v>318</v>
      </c>
      <c r="AB51" s="3">
        <v>10.0</v>
      </c>
      <c r="AC51" s="3">
        <v>10.0</v>
      </c>
      <c r="AD51" s="7">
        <v>0.825</v>
      </c>
      <c r="AE51" s="3">
        <v>33.0</v>
      </c>
      <c r="AF51" s="3">
        <v>4.0</v>
      </c>
      <c r="AG51" s="3">
        <v>0.0</v>
      </c>
      <c r="AH51" s="3">
        <v>4.0</v>
      </c>
      <c r="AI51" s="3">
        <v>0.0</v>
      </c>
      <c r="AJ51" s="3">
        <v>0.0</v>
      </c>
      <c r="AK51" s="3">
        <v>4.0</v>
      </c>
    </row>
    <row r="52">
      <c r="A52" s="2" t="s">
        <v>37</v>
      </c>
      <c r="B52" s="3">
        <v>40082.0</v>
      </c>
      <c r="C52" s="4">
        <v>46023.0</v>
      </c>
      <c r="D52" s="3" t="s">
        <v>330</v>
      </c>
      <c r="E52" s="2" t="s">
        <v>39</v>
      </c>
      <c r="F52" s="3">
        <v>32811.0</v>
      </c>
      <c r="G52" s="2" t="s">
        <v>331</v>
      </c>
      <c r="H52" s="5">
        <v>43893.200949074075</v>
      </c>
      <c r="I52" s="2" t="s">
        <v>57</v>
      </c>
      <c r="J52" s="2" t="s">
        <v>332</v>
      </c>
      <c r="K52" s="2" t="s">
        <v>65</v>
      </c>
      <c r="L52" s="2" t="s">
        <v>44</v>
      </c>
      <c r="M52" s="2" t="s">
        <v>333</v>
      </c>
      <c r="N52" s="2" t="s">
        <v>334</v>
      </c>
      <c r="O52" s="2" t="s">
        <v>335</v>
      </c>
      <c r="P52" s="4">
        <v>46359.0</v>
      </c>
      <c r="Q52" s="4">
        <v>46359.0</v>
      </c>
      <c r="R52" s="3">
        <v>1691.0</v>
      </c>
      <c r="S52" s="2" t="s">
        <v>339</v>
      </c>
      <c r="T52" s="2" t="s">
        <v>48</v>
      </c>
      <c r="U52" s="2" t="s">
        <v>49</v>
      </c>
      <c r="V52" s="2" t="s">
        <v>50</v>
      </c>
      <c r="W52" s="2" t="s">
        <v>51</v>
      </c>
      <c r="X52" s="2" t="s">
        <v>52</v>
      </c>
      <c r="Y52" s="2" t="s">
        <v>53</v>
      </c>
      <c r="Z52" s="3">
        <v>9.0</v>
      </c>
      <c r="AA52" s="2" t="s">
        <v>70</v>
      </c>
      <c r="AB52" s="3">
        <v>31.0</v>
      </c>
      <c r="AC52" s="3">
        <v>31.0</v>
      </c>
      <c r="AD52" s="7">
        <v>0.7742</v>
      </c>
      <c r="AE52" s="3">
        <v>24.0</v>
      </c>
      <c r="AF52" s="3">
        <v>1.0</v>
      </c>
      <c r="AG52" s="3">
        <v>0.0</v>
      </c>
      <c r="AH52" s="3">
        <v>1.0</v>
      </c>
      <c r="AI52" s="3">
        <v>0.0</v>
      </c>
      <c r="AJ52" s="3">
        <v>0.0</v>
      </c>
      <c r="AK52" s="3">
        <v>1.0</v>
      </c>
    </row>
    <row r="53">
      <c r="A53" s="2" t="s">
        <v>37</v>
      </c>
      <c r="B53" s="3">
        <v>40083.0</v>
      </c>
      <c r="C53" s="4">
        <v>46023.0</v>
      </c>
      <c r="D53" s="3" t="s">
        <v>330</v>
      </c>
      <c r="E53" s="2" t="s">
        <v>39</v>
      </c>
      <c r="F53" s="3">
        <v>32811.0</v>
      </c>
      <c r="G53" s="2" t="s">
        <v>331</v>
      </c>
      <c r="H53" s="5">
        <v>43893.200949074075</v>
      </c>
      <c r="I53" s="2" t="s">
        <v>57</v>
      </c>
      <c r="J53" s="2" t="s">
        <v>332</v>
      </c>
      <c r="K53" s="2" t="s">
        <v>65</v>
      </c>
      <c r="L53" s="2" t="s">
        <v>44</v>
      </c>
      <c r="M53" s="2" t="s">
        <v>333</v>
      </c>
      <c r="N53" s="2" t="s">
        <v>334</v>
      </c>
      <c r="O53" s="2" t="s">
        <v>335</v>
      </c>
      <c r="P53" s="4">
        <v>46359.0</v>
      </c>
      <c r="Q53" s="4">
        <v>46359.0</v>
      </c>
      <c r="R53" s="3">
        <v>1859.0</v>
      </c>
      <c r="S53" s="2" t="s">
        <v>340</v>
      </c>
      <c r="T53" s="2" t="s">
        <v>48</v>
      </c>
      <c r="U53" s="2" t="s">
        <v>341</v>
      </c>
      <c r="V53" s="2" t="s">
        <v>50</v>
      </c>
      <c r="W53" s="2" t="s">
        <v>51</v>
      </c>
      <c r="X53" s="2" t="s">
        <v>52</v>
      </c>
      <c r="Y53" s="2" t="s">
        <v>53</v>
      </c>
      <c r="Z53" s="3">
        <v>9.0</v>
      </c>
      <c r="AA53" s="2" t="s">
        <v>70</v>
      </c>
      <c r="AB53" s="3">
        <v>49.0</v>
      </c>
      <c r="AC53" s="3">
        <v>49.0</v>
      </c>
      <c r="AD53" s="7">
        <v>1.0</v>
      </c>
      <c r="AE53" s="3">
        <v>49.0</v>
      </c>
      <c r="AF53" s="3">
        <v>1.0</v>
      </c>
      <c r="AG53" s="3">
        <v>0.0</v>
      </c>
      <c r="AH53" s="3">
        <v>1.0</v>
      </c>
      <c r="AI53" s="3">
        <v>0.0</v>
      </c>
      <c r="AJ53" s="3">
        <v>0.0</v>
      </c>
      <c r="AK53" s="3">
        <v>1.0</v>
      </c>
    </row>
    <row r="54">
      <c r="A54" s="2" t="s">
        <v>37</v>
      </c>
      <c r="B54" s="3">
        <v>40084.0</v>
      </c>
      <c r="C54" s="4">
        <v>46023.0</v>
      </c>
      <c r="D54" s="3" t="s">
        <v>330</v>
      </c>
      <c r="E54" s="2" t="s">
        <v>39</v>
      </c>
      <c r="F54" s="3">
        <v>32811.0</v>
      </c>
      <c r="G54" s="2" t="s">
        <v>331</v>
      </c>
      <c r="H54" s="5">
        <v>43893.200949074075</v>
      </c>
      <c r="I54" s="2" t="s">
        <v>57</v>
      </c>
      <c r="J54" s="2" t="s">
        <v>332</v>
      </c>
      <c r="K54" s="2" t="s">
        <v>65</v>
      </c>
      <c r="L54" s="2" t="s">
        <v>44</v>
      </c>
      <c r="M54" s="2" t="s">
        <v>333</v>
      </c>
      <c r="N54" s="2" t="s">
        <v>334</v>
      </c>
      <c r="O54" s="2" t="s">
        <v>335</v>
      </c>
      <c r="P54" s="4">
        <v>46359.0</v>
      </c>
      <c r="Q54" s="4">
        <v>46359.0</v>
      </c>
      <c r="R54" s="3">
        <v>1693.0</v>
      </c>
      <c r="S54" s="2" t="s">
        <v>342</v>
      </c>
      <c r="T54" s="2" t="s">
        <v>48</v>
      </c>
      <c r="U54" s="2" t="s">
        <v>49</v>
      </c>
      <c r="V54" s="2" t="s">
        <v>50</v>
      </c>
      <c r="W54" s="2" t="s">
        <v>51</v>
      </c>
      <c r="X54" s="2" t="s">
        <v>52</v>
      </c>
      <c r="Y54" s="2" t="s">
        <v>53</v>
      </c>
      <c r="Z54" s="3">
        <v>9.0</v>
      </c>
      <c r="AA54" s="2" t="s">
        <v>70</v>
      </c>
      <c r="AB54" s="3">
        <v>17.0</v>
      </c>
      <c r="AC54" s="3">
        <v>17.0</v>
      </c>
      <c r="AD54" s="7">
        <v>1.0</v>
      </c>
      <c r="AE54" s="3">
        <v>17.0</v>
      </c>
      <c r="AF54" s="3">
        <v>1.0</v>
      </c>
      <c r="AG54" s="3">
        <v>0.0</v>
      </c>
      <c r="AH54" s="3">
        <v>1.0</v>
      </c>
      <c r="AI54" s="3">
        <v>0.0</v>
      </c>
      <c r="AJ54" s="3">
        <v>0.0</v>
      </c>
      <c r="AK54" s="3">
        <v>1.0</v>
      </c>
    </row>
    <row r="55">
      <c r="A55" s="2" t="s">
        <v>37</v>
      </c>
      <c r="B55" s="3">
        <v>40085.0</v>
      </c>
      <c r="C55" s="4">
        <v>46023.0</v>
      </c>
      <c r="D55" s="3" t="s">
        <v>330</v>
      </c>
      <c r="E55" s="2" t="s">
        <v>39</v>
      </c>
      <c r="F55" s="3">
        <v>32811.0</v>
      </c>
      <c r="G55" s="2" t="s">
        <v>331</v>
      </c>
      <c r="H55" s="5">
        <v>43893.200949074075</v>
      </c>
      <c r="I55" s="2" t="s">
        <v>57</v>
      </c>
      <c r="J55" s="2" t="s">
        <v>332</v>
      </c>
      <c r="K55" s="2" t="s">
        <v>65</v>
      </c>
      <c r="L55" s="2" t="s">
        <v>44</v>
      </c>
      <c r="M55" s="2" t="s">
        <v>333</v>
      </c>
      <c r="N55" s="2" t="s">
        <v>334</v>
      </c>
      <c r="O55" s="2" t="s">
        <v>335</v>
      </c>
      <c r="P55" s="4">
        <v>46359.0</v>
      </c>
      <c r="Q55" s="4">
        <v>46359.0</v>
      </c>
      <c r="R55" s="3">
        <v>1694.0</v>
      </c>
      <c r="S55" s="2" t="s">
        <v>47</v>
      </c>
      <c r="T55" s="2" t="s">
        <v>48</v>
      </c>
      <c r="U55" s="2" t="s">
        <v>49</v>
      </c>
      <c r="V55" s="2" t="s">
        <v>50</v>
      </c>
      <c r="W55" s="2" t="s">
        <v>51</v>
      </c>
      <c r="X55" s="2" t="s">
        <v>52</v>
      </c>
      <c r="Y55" s="2" t="s">
        <v>53</v>
      </c>
      <c r="Z55" s="3">
        <v>9.0</v>
      </c>
      <c r="AA55" s="2" t="s">
        <v>70</v>
      </c>
      <c r="AB55" s="3">
        <v>25.0</v>
      </c>
      <c r="AC55" s="3">
        <v>25.0</v>
      </c>
      <c r="AD55" s="7">
        <v>0.88</v>
      </c>
      <c r="AE55" s="3">
        <v>22.0</v>
      </c>
      <c r="AF55" s="3">
        <v>1.0</v>
      </c>
      <c r="AG55" s="3">
        <v>0.0</v>
      </c>
      <c r="AH55" s="3">
        <v>1.0</v>
      </c>
      <c r="AI55" s="3">
        <v>0.0</v>
      </c>
      <c r="AJ55" s="3">
        <v>0.0</v>
      </c>
      <c r="AK55" s="3">
        <v>1.0</v>
      </c>
    </row>
    <row r="56">
      <c r="A56" s="2" t="s">
        <v>37</v>
      </c>
      <c r="B56" s="3">
        <v>40086.0</v>
      </c>
      <c r="C56" s="4">
        <v>46023.0</v>
      </c>
      <c r="D56" s="3" t="s">
        <v>330</v>
      </c>
      <c r="E56" s="2" t="s">
        <v>39</v>
      </c>
      <c r="F56" s="3">
        <v>32811.0</v>
      </c>
      <c r="G56" s="2" t="s">
        <v>331</v>
      </c>
      <c r="H56" s="5">
        <v>43893.200949074075</v>
      </c>
      <c r="I56" s="2" t="s">
        <v>57</v>
      </c>
      <c r="J56" s="2" t="s">
        <v>332</v>
      </c>
      <c r="K56" s="2" t="s">
        <v>65</v>
      </c>
      <c r="L56" s="2" t="s">
        <v>44</v>
      </c>
      <c r="M56" s="2" t="s">
        <v>333</v>
      </c>
      <c r="N56" s="2" t="s">
        <v>334</v>
      </c>
      <c r="O56" s="2" t="s">
        <v>335</v>
      </c>
      <c r="P56" s="4">
        <v>46359.0</v>
      </c>
      <c r="Q56" s="4">
        <v>46359.0</v>
      </c>
      <c r="R56" s="3">
        <v>1695.0</v>
      </c>
      <c r="S56" s="2" t="s">
        <v>294</v>
      </c>
      <c r="T56" s="2" t="s">
        <v>48</v>
      </c>
      <c r="U56" s="2" t="s">
        <v>49</v>
      </c>
      <c r="V56" s="2" t="s">
        <v>50</v>
      </c>
      <c r="W56" s="2" t="s">
        <v>51</v>
      </c>
      <c r="X56" s="2" t="s">
        <v>52</v>
      </c>
      <c r="Y56" s="2" t="s">
        <v>53</v>
      </c>
      <c r="Z56" s="3">
        <v>9.0</v>
      </c>
      <c r="AA56" s="2" t="s">
        <v>70</v>
      </c>
      <c r="AB56" s="3">
        <v>24.0</v>
      </c>
      <c r="AC56" s="3">
        <v>24.0</v>
      </c>
      <c r="AD56" s="7">
        <v>0.9167</v>
      </c>
      <c r="AE56" s="3">
        <v>22.0</v>
      </c>
      <c r="AF56" s="3">
        <v>1.0</v>
      </c>
      <c r="AG56" s="3">
        <v>0.0</v>
      </c>
      <c r="AH56" s="3">
        <v>1.0</v>
      </c>
      <c r="AI56" s="3">
        <v>0.0</v>
      </c>
      <c r="AJ56" s="3">
        <v>0.0</v>
      </c>
      <c r="AK56" s="3">
        <v>1.0</v>
      </c>
    </row>
    <row r="57">
      <c r="A57" s="2" t="s">
        <v>37</v>
      </c>
      <c r="B57" s="3">
        <v>40087.0</v>
      </c>
      <c r="C57" s="4">
        <v>46023.0</v>
      </c>
      <c r="D57" s="3" t="s">
        <v>330</v>
      </c>
      <c r="E57" s="2" t="s">
        <v>39</v>
      </c>
      <c r="F57" s="3">
        <v>32811.0</v>
      </c>
      <c r="G57" s="2" t="s">
        <v>331</v>
      </c>
      <c r="H57" s="5">
        <v>43893.200949074075</v>
      </c>
      <c r="I57" s="2" t="s">
        <v>57</v>
      </c>
      <c r="J57" s="2" t="s">
        <v>332</v>
      </c>
      <c r="K57" s="2" t="s">
        <v>65</v>
      </c>
      <c r="L57" s="2" t="s">
        <v>44</v>
      </c>
      <c r="M57" s="2" t="s">
        <v>333</v>
      </c>
      <c r="N57" s="2" t="s">
        <v>334</v>
      </c>
      <c r="O57" s="2" t="s">
        <v>335</v>
      </c>
      <c r="P57" s="4">
        <v>46359.0</v>
      </c>
      <c r="Q57" s="4">
        <v>46359.0</v>
      </c>
      <c r="R57" s="3">
        <v>1697.0</v>
      </c>
      <c r="S57" s="2" t="s">
        <v>338</v>
      </c>
      <c r="T57" s="2" t="s">
        <v>48</v>
      </c>
      <c r="U57" s="2" t="s">
        <v>49</v>
      </c>
      <c r="V57" s="2" t="s">
        <v>50</v>
      </c>
      <c r="W57" s="2" t="s">
        <v>51</v>
      </c>
      <c r="X57" s="2" t="s">
        <v>52</v>
      </c>
      <c r="Y57" s="2" t="s">
        <v>53</v>
      </c>
      <c r="Z57" s="3">
        <v>9.0</v>
      </c>
      <c r="AA57" s="2" t="s">
        <v>70</v>
      </c>
      <c r="AB57" s="3">
        <v>11.0</v>
      </c>
      <c r="AC57" s="3">
        <v>11.0</v>
      </c>
      <c r="AD57" s="7">
        <v>0.9091</v>
      </c>
      <c r="AE57" s="3">
        <v>10.0</v>
      </c>
      <c r="AF57" s="3">
        <v>1.0</v>
      </c>
      <c r="AG57" s="3">
        <v>0.0</v>
      </c>
      <c r="AH57" s="3">
        <v>1.0</v>
      </c>
      <c r="AI57" s="3">
        <v>0.0</v>
      </c>
      <c r="AJ57" s="3">
        <v>0.0</v>
      </c>
      <c r="AK57" s="3">
        <v>1.0</v>
      </c>
    </row>
    <row r="58">
      <c r="A58" s="2" t="s">
        <v>37</v>
      </c>
      <c r="B58" s="3">
        <v>40089.0</v>
      </c>
      <c r="C58" s="4">
        <v>46023.0</v>
      </c>
      <c r="D58" s="3" t="s">
        <v>330</v>
      </c>
      <c r="E58" s="2" t="s">
        <v>39</v>
      </c>
      <c r="F58" s="3">
        <v>32811.0</v>
      </c>
      <c r="G58" s="2" t="s">
        <v>331</v>
      </c>
      <c r="H58" s="5">
        <v>43893.200949074075</v>
      </c>
      <c r="I58" s="2" t="s">
        <v>57</v>
      </c>
      <c r="J58" s="2" t="s">
        <v>332</v>
      </c>
      <c r="K58" s="2" t="s">
        <v>65</v>
      </c>
      <c r="L58" s="2" t="s">
        <v>44</v>
      </c>
      <c r="M58" s="2" t="s">
        <v>333</v>
      </c>
      <c r="N58" s="2" t="s">
        <v>334</v>
      </c>
      <c r="O58" s="2" t="s">
        <v>335</v>
      </c>
      <c r="P58" s="4">
        <v>46359.0</v>
      </c>
      <c r="Q58" s="4">
        <v>46359.0</v>
      </c>
      <c r="R58" s="3">
        <v>1699.0</v>
      </c>
      <c r="S58" s="2" t="s">
        <v>343</v>
      </c>
      <c r="T58" s="2" t="s">
        <v>48</v>
      </c>
      <c r="U58" s="2" t="s">
        <v>49</v>
      </c>
      <c r="V58" s="2" t="s">
        <v>50</v>
      </c>
      <c r="W58" s="2" t="s">
        <v>51</v>
      </c>
      <c r="X58" s="2" t="s">
        <v>52</v>
      </c>
      <c r="Y58" s="2" t="s">
        <v>53</v>
      </c>
      <c r="Z58" s="3">
        <v>9.0</v>
      </c>
      <c r="AA58" s="2" t="s">
        <v>70</v>
      </c>
      <c r="AB58" s="3">
        <v>18.0</v>
      </c>
      <c r="AC58" s="3">
        <v>18.0</v>
      </c>
      <c r="AD58" s="7">
        <v>0.8889</v>
      </c>
      <c r="AE58" s="3">
        <v>16.0</v>
      </c>
      <c r="AF58" s="3">
        <v>1.0</v>
      </c>
      <c r="AG58" s="3">
        <v>0.0</v>
      </c>
      <c r="AH58" s="3">
        <v>1.0</v>
      </c>
      <c r="AI58" s="3">
        <v>0.0</v>
      </c>
      <c r="AJ58" s="3">
        <v>0.0</v>
      </c>
      <c r="AK58" s="3">
        <v>1.0</v>
      </c>
    </row>
    <row r="59">
      <c r="A59" s="2" t="s">
        <v>37</v>
      </c>
      <c r="B59" s="3">
        <v>40090.0</v>
      </c>
      <c r="C59" s="4">
        <v>46023.0</v>
      </c>
      <c r="D59" s="3" t="s">
        <v>330</v>
      </c>
      <c r="E59" s="2" t="s">
        <v>39</v>
      </c>
      <c r="F59" s="3">
        <v>32811.0</v>
      </c>
      <c r="G59" s="2" t="s">
        <v>331</v>
      </c>
      <c r="H59" s="5">
        <v>43893.200949074075</v>
      </c>
      <c r="I59" s="2" t="s">
        <v>57</v>
      </c>
      <c r="J59" s="2" t="s">
        <v>332</v>
      </c>
      <c r="K59" s="2" t="s">
        <v>65</v>
      </c>
      <c r="L59" s="2" t="s">
        <v>44</v>
      </c>
      <c r="M59" s="2" t="s">
        <v>333</v>
      </c>
      <c r="N59" s="2" t="s">
        <v>334</v>
      </c>
      <c r="O59" s="2" t="s">
        <v>335</v>
      </c>
      <c r="P59" s="4">
        <v>46359.0</v>
      </c>
      <c r="Q59" s="4">
        <v>46359.0</v>
      </c>
      <c r="R59" s="3">
        <v>1711.0</v>
      </c>
      <c r="S59" s="2" t="s">
        <v>344</v>
      </c>
      <c r="T59" s="2" t="s">
        <v>48</v>
      </c>
      <c r="U59" s="2" t="s">
        <v>49</v>
      </c>
      <c r="V59" s="2" t="s">
        <v>50</v>
      </c>
      <c r="W59" s="2" t="s">
        <v>51</v>
      </c>
      <c r="X59" s="2" t="s">
        <v>52</v>
      </c>
      <c r="Y59" s="2" t="s">
        <v>53</v>
      </c>
      <c r="Z59" s="3">
        <v>9.0</v>
      </c>
      <c r="AA59" s="2" t="s">
        <v>70</v>
      </c>
      <c r="AB59" s="3">
        <v>24.0</v>
      </c>
      <c r="AC59" s="3">
        <v>24.0</v>
      </c>
      <c r="AD59" s="7">
        <v>0.9167</v>
      </c>
      <c r="AE59" s="3">
        <v>22.0</v>
      </c>
      <c r="AF59" s="3">
        <v>1.0</v>
      </c>
      <c r="AG59" s="3">
        <v>0.0</v>
      </c>
      <c r="AH59" s="3">
        <v>1.0</v>
      </c>
      <c r="AI59" s="3">
        <v>0.0</v>
      </c>
      <c r="AJ59" s="3">
        <v>0.0</v>
      </c>
      <c r="AK59" s="3">
        <v>1.0</v>
      </c>
    </row>
    <row r="60">
      <c r="A60" s="2" t="s">
        <v>37</v>
      </c>
      <c r="B60" s="3">
        <v>37385.0</v>
      </c>
      <c r="C60" s="3" t="s">
        <v>345</v>
      </c>
      <c r="D60" s="3" t="s">
        <v>38</v>
      </c>
      <c r="E60" s="2" t="s">
        <v>39</v>
      </c>
      <c r="F60" s="3">
        <v>81824.0</v>
      </c>
      <c r="G60" s="2" t="s">
        <v>346</v>
      </c>
      <c r="H60" s="5">
        <v>45819.64890046296</v>
      </c>
      <c r="J60" s="2" t="s">
        <v>347</v>
      </c>
      <c r="K60" s="2" t="s">
        <v>88</v>
      </c>
      <c r="L60" s="2" t="s">
        <v>44</v>
      </c>
      <c r="M60" s="2" t="s">
        <v>89</v>
      </c>
      <c r="N60" s="2" t="s">
        <v>348</v>
      </c>
      <c r="O60" s="2" t="s">
        <v>349</v>
      </c>
      <c r="P60" s="4">
        <v>46359.0</v>
      </c>
      <c r="Q60" s="3" t="s">
        <v>92</v>
      </c>
      <c r="R60" s="3">
        <v>1973.0</v>
      </c>
      <c r="S60" s="2" t="s">
        <v>93</v>
      </c>
      <c r="T60" s="2" t="s">
        <v>88</v>
      </c>
      <c r="U60" s="2" t="s">
        <v>94</v>
      </c>
      <c r="V60" s="2" t="s">
        <v>95</v>
      </c>
      <c r="W60" s="2" t="s">
        <v>51</v>
      </c>
      <c r="X60" s="2" t="s">
        <v>96</v>
      </c>
      <c r="Y60" s="2" t="s">
        <v>53</v>
      </c>
      <c r="Z60" s="3">
        <v>8.0</v>
      </c>
      <c r="AA60" s="2" t="s">
        <v>54</v>
      </c>
      <c r="AB60" s="3">
        <v>47.0</v>
      </c>
      <c r="AC60" s="3">
        <v>47.0</v>
      </c>
      <c r="AD60" s="7">
        <v>0.6312</v>
      </c>
      <c r="AE60" s="3">
        <v>89.0</v>
      </c>
      <c r="AF60" s="3">
        <v>3.0</v>
      </c>
      <c r="AG60" s="3">
        <v>0.0</v>
      </c>
      <c r="AH60" s="3">
        <v>2.0</v>
      </c>
      <c r="AI60" s="3">
        <v>1.0</v>
      </c>
      <c r="AJ60" s="3">
        <v>0.0</v>
      </c>
      <c r="AK60" s="3">
        <v>3.0</v>
      </c>
    </row>
    <row r="61">
      <c r="A61" s="2" t="s">
        <v>37</v>
      </c>
      <c r="B61" s="3">
        <v>38985.0</v>
      </c>
      <c r="C61" s="3" t="s">
        <v>142</v>
      </c>
      <c r="D61" s="5">
        <v>46112.99998842592</v>
      </c>
      <c r="E61" s="2" t="s">
        <v>39</v>
      </c>
      <c r="F61" s="3">
        <v>84409.0</v>
      </c>
      <c r="G61" s="2" t="s">
        <v>350</v>
      </c>
      <c r="H61" s="5">
        <v>45867.62600694445</v>
      </c>
      <c r="I61" s="2" t="s">
        <v>57</v>
      </c>
      <c r="J61" s="2" t="s">
        <v>351</v>
      </c>
      <c r="K61" s="2" t="s">
        <v>88</v>
      </c>
      <c r="L61" s="2" t="s">
        <v>44</v>
      </c>
      <c r="M61" s="2" t="s">
        <v>183</v>
      </c>
      <c r="N61" s="2" t="s">
        <v>352</v>
      </c>
      <c r="O61" s="2" t="s">
        <v>353</v>
      </c>
      <c r="P61" s="4">
        <v>46298.0</v>
      </c>
      <c r="Q61" s="3" t="s">
        <v>92</v>
      </c>
      <c r="R61" s="3">
        <v>1994.0</v>
      </c>
      <c r="S61" s="2" t="s">
        <v>354</v>
      </c>
      <c r="T61" s="2" t="s">
        <v>88</v>
      </c>
      <c r="U61" s="2" t="s">
        <v>149</v>
      </c>
      <c r="V61" s="2" t="s">
        <v>150</v>
      </c>
      <c r="W61" s="2" t="s">
        <v>51</v>
      </c>
      <c r="X61" s="2" t="s">
        <v>96</v>
      </c>
      <c r="Y61" s="2" t="s">
        <v>53</v>
      </c>
      <c r="Z61" s="3">
        <v>6.0</v>
      </c>
      <c r="AA61" s="2" t="s">
        <v>54</v>
      </c>
      <c r="AB61" s="3">
        <v>15.0</v>
      </c>
      <c r="AC61" s="3">
        <v>15.0</v>
      </c>
      <c r="AD61" s="7">
        <v>0.9833</v>
      </c>
      <c r="AE61" s="3">
        <v>59.0</v>
      </c>
      <c r="AF61" s="3">
        <v>4.0</v>
      </c>
      <c r="AG61" s="3">
        <v>0.0</v>
      </c>
      <c r="AH61" s="3">
        <v>4.0</v>
      </c>
      <c r="AI61" s="3">
        <v>0.0</v>
      </c>
      <c r="AJ61" s="3">
        <v>0.0</v>
      </c>
      <c r="AK61" s="3">
        <v>4.0</v>
      </c>
    </row>
    <row r="62">
      <c r="A62" s="2" t="s">
        <v>37</v>
      </c>
      <c r="B62" s="3">
        <v>39849.0</v>
      </c>
      <c r="C62" s="4">
        <v>45881.0</v>
      </c>
      <c r="D62" s="3" t="s">
        <v>38</v>
      </c>
      <c r="E62" s="2" t="s">
        <v>72</v>
      </c>
      <c r="F62" s="3">
        <v>63035.0</v>
      </c>
      <c r="G62" s="2" t="s">
        <v>355</v>
      </c>
      <c r="H62" s="5">
        <v>45014.38568287037</v>
      </c>
      <c r="I62" s="2" t="s">
        <v>57</v>
      </c>
      <c r="J62" s="2" t="s">
        <v>42</v>
      </c>
      <c r="K62" s="2" t="s">
        <v>43</v>
      </c>
      <c r="L62" s="2" t="s">
        <v>44</v>
      </c>
      <c r="M62" s="2" t="s">
        <v>111</v>
      </c>
      <c r="N62" s="2" t="s">
        <v>356</v>
      </c>
      <c r="O62" s="2" t="s">
        <v>357</v>
      </c>
      <c r="P62" s="4">
        <v>46145.0</v>
      </c>
      <c r="Q62" s="4">
        <v>46176.0</v>
      </c>
      <c r="R62" s="3">
        <v>2047.0</v>
      </c>
      <c r="S62" s="2" t="s">
        <v>358</v>
      </c>
      <c r="T62" s="2" t="s">
        <v>43</v>
      </c>
      <c r="U62" s="2" t="s">
        <v>178</v>
      </c>
      <c r="V62" s="2" t="s">
        <v>179</v>
      </c>
      <c r="W62" s="2" t="s">
        <v>68</v>
      </c>
      <c r="X62" s="2" t="s">
        <v>172</v>
      </c>
      <c r="Y62" s="2" t="s">
        <v>53</v>
      </c>
      <c r="Z62" s="3">
        <v>9.0</v>
      </c>
      <c r="AA62" s="2" t="s">
        <v>359</v>
      </c>
      <c r="AB62" s="3">
        <v>23.0</v>
      </c>
      <c r="AC62" s="3">
        <v>23.0</v>
      </c>
      <c r="AD62" s="7">
        <v>0.9565</v>
      </c>
      <c r="AE62" s="3">
        <v>44.0</v>
      </c>
      <c r="AF62" s="3">
        <v>2.0</v>
      </c>
      <c r="AG62" s="3">
        <v>0.0</v>
      </c>
      <c r="AH62" s="3">
        <v>2.0</v>
      </c>
      <c r="AI62" s="3">
        <v>0.0</v>
      </c>
      <c r="AJ62" s="3">
        <v>0.0</v>
      </c>
      <c r="AK62" s="3">
        <v>2.0</v>
      </c>
    </row>
    <row r="63">
      <c r="A63" s="2" t="s">
        <v>37</v>
      </c>
      <c r="B63" s="3">
        <v>37093.0</v>
      </c>
      <c r="C63" s="4">
        <v>45784.0</v>
      </c>
      <c r="D63" s="3" t="s">
        <v>38</v>
      </c>
      <c r="E63" s="2" t="s">
        <v>39</v>
      </c>
      <c r="F63" s="3">
        <v>5027.0</v>
      </c>
      <c r="G63" s="2" t="s">
        <v>360</v>
      </c>
      <c r="H63" s="5">
        <v>42241.040821759256</v>
      </c>
      <c r="I63" s="2" t="s">
        <v>57</v>
      </c>
      <c r="J63" s="2" t="s">
        <v>361</v>
      </c>
      <c r="K63" s="2" t="s">
        <v>43</v>
      </c>
      <c r="L63" s="2" t="s">
        <v>44</v>
      </c>
      <c r="M63" s="2" t="s">
        <v>89</v>
      </c>
      <c r="N63" s="6"/>
      <c r="O63" s="2" t="s">
        <v>362</v>
      </c>
      <c r="P63" s="4">
        <v>46115.0</v>
      </c>
      <c r="Q63" s="4">
        <v>46359.0</v>
      </c>
      <c r="R63" s="3">
        <v>1859.0</v>
      </c>
      <c r="S63" s="2" t="s">
        <v>340</v>
      </c>
      <c r="T63" s="2" t="s">
        <v>48</v>
      </c>
      <c r="U63" s="2" t="s">
        <v>341</v>
      </c>
      <c r="V63" s="2" t="s">
        <v>50</v>
      </c>
      <c r="W63" s="2" t="s">
        <v>51</v>
      </c>
      <c r="X63" s="2" t="s">
        <v>52</v>
      </c>
      <c r="Y63" s="2" t="s">
        <v>53</v>
      </c>
      <c r="Z63" s="3">
        <v>7.0</v>
      </c>
      <c r="AA63" s="2" t="s">
        <v>164</v>
      </c>
      <c r="AB63" s="3">
        <v>42.0</v>
      </c>
      <c r="AC63" s="3">
        <v>42.0</v>
      </c>
      <c r="AD63" s="7">
        <v>0.869</v>
      </c>
      <c r="AE63" s="3">
        <v>146.0</v>
      </c>
      <c r="AF63" s="3">
        <v>4.0</v>
      </c>
      <c r="AG63" s="3">
        <v>0.0</v>
      </c>
      <c r="AH63" s="3">
        <v>4.0</v>
      </c>
      <c r="AI63" s="3">
        <v>0.0</v>
      </c>
      <c r="AJ63" s="3">
        <v>0.0</v>
      </c>
      <c r="AK63" s="3">
        <v>4.0</v>
      </c>
    </row>
    <row r="64">
      <c r="A64" s="2" t="s">
        <v>37</v>
      </c>
      <c r="B64" s="3">
        <v>39011.0</v>
      </c>
      <c r="C64" s="3" t="s">
        <v>142</v>
      </c>
      <c r="D64" s="5">
        <v>46112.99998842592</v>
      </c>
      <c r="E64" s="2" t="s">
        <v>39</v>
      </c>
      <c r="F64" s="3">
        <v>62661.0</v>
      </c>
      <c r="G64" s="2" t="s">
        <v>363</v>
      </c>
      <c r="H64" s="5">
        <v>44986.996342592596</v>
      </c>
      <c r="I64" s="2" t="s">
        <v>57</v>
      </c>
      <c r="J64" s="2" t="s">
        <v>156</v>
      </c>
      <c r="K64" s="2" t="s">
        <v>59</v>
      </c>
      <c r="L64" s="2" t="s">
        <v>44</v>
      </c>
      <c r="M64" s="2" t="s">
        <v>364</v>
      </c>
      <c r="N64" s="2" t="s">
        <v>365</v>
      </c>
      <c r="O64" s="2" t="s">
        <v>366</v>
      </c>
      <c r="P64" s="4">
        <v>46329.0</v>
      </c>
      <c r="Q64" s="3" t="s">
        <v>147</v>
      </c>
      <c r="R64" s="3">
        <v>2001.0</v>
      </c>
      <c r="S64" s="2" t="s">
        <v>209</v>
      </c>
      <c r="T64" s="2" t="s">
        <v>88</v>
      </c>
      <c r="U64" s="2" t="s">
        <v>149</v>
      </c>
      <c r="V64" s="2" t="s">
        <v>150</v>
      </c>
      <c r="W64" s="2" t="s">
        <v>51</v>
      </c>
      <c r="X64" s="2" t="s">
        <v>96</v>
      </c>
      <c r="Y64" s="2" t="s">
        <v>210</v>
      </c>
      <c r="Z64" s="3">
        <v>7.0</v>
      </c>
      <c r="AA64" s="2" t="s">
        <v>164</v>
      </c>
      <c r="AB64" s="3">
        <v>23.0</v>
      </c>
      <c r="AC64" s="3">
        <v>23.0</v>
      </c>
      <c r="AD64" s="7">
        <v>0.5978</v>
      </c>
      <c r="AE64" s="3">
        <v>55.0</v>
      </c>
      <c r="AF64" s="3">
        <v>4.0</v>
      </c>
      <c r="AG64" s="3">
        <v>0.0</v>
      </c>
      <c r="AH64" s="3">
        <v>2.0</v>
      </c>
      <c r="AI64" s="3">
        <v>2.0</v>
      </c>
      <c r="AJ64" s="3">
        <v>0.0</v>
      </c>
      <c r="AK64" s="3">
        <v>4.0</v>
      </c>
    </row>
    <row r="65">
      <c r="A65" s="2" t="s">
        <v>37</v>
      </c>
      <c r="B65" s="3">
        <v>38930.0</v>
      </c>
      <c r="C65" s="4">
        <v>45666.0</v>
      </c>
      <c r="D65" s="3" t="s">
        <v>38</v>
      </c>
      <c r="E65" s="2" t="s">
        <v>72</v>
      </c>
      <c r="F65" s="3">
        <v>83645.0</v>
      </c>
      <c r="G65" s="2" t="s">
        <v>367</v>
      </c>
      <c r="H65" s="5">
        <v>45853.73972222222</v>
      </c>
      <c r="I65" s="2" t="s">
        <v>108</v>
      </c>
      <c r="J65" s="2" t="s">
        <v>42</v>
      </c>
      <c r="K65" s="2" t="s">
        <v>43</v>
      </c>
      <c r="L65" s="2" t="s">
        <v>44</v>
      </c>
      <c r="M65" s="2" t="s">
        <v>111</v>
      </c>
      <c r="N65" s="2" t="s">
        <v>334</v>
      </c>
      <c r="O65" s="2" t="s">
        <v>368</v>
      </c>
      <c r="P65" s="4">
        <v>46084.0</v>
      </c>
      <c r="Q65" s="4">
        <v>46145.0</v>
      </c>
      <c r="R65" s="3">
        <v>1763.0</v>
      </c>
      <c r="S65" s="2" t="s">
        <v>325</v>
      </c>
      <c r="T65" s="2" t="s">
        <v>81</v>
      </c>
      <c r="U65" s="2" t="s">
        <v>140</v>
      </c>
      <c r="V65" s="2" t="s">
        <v>83</v>
      </c>
      <c r="W65" s="2" t="s">
        <v>68</v>
      </c>
      <c r="X65" s="2" t="s">
        <v>69</v>
      </c>
      <c r="Y65" s="2" t="s">
        <v>53</v>
      </c>
      <c r="Z65" s="3">
        <v>9.0</v>
      </c>
      <c r="AA65" s="2" t="s">
        <v>125</v>
      </c>
      <c r="AB65" s="3">
        <v>17.0</v>
      </c>
      <c r="AC65" s="3">
        <v>17.0</v>
      </c>
      <c r="AD65" s="7">
        <v>0.8824</v>
      </c>
      <c r="AE65" s="3">
        <v>30.0</v>
      </c>
      <c r="AF65" s="3">
        <v>2.0</v>
      </c>
      <c r="AG65" s="3">
        <v>0.0</v>
      </c>
      <c r="AH65" s="3">
        <v>0.0</v>
      </c>
      <c r="AI65" s="3">
        <v>2.0</v>
      </c>
      <c r="AJ65" s="3">
        <v>0.0</v>
      </c>
      <c r="AK65" s="3">
        <v>2.0</v>
      </c>
    </row>
    <row r="66">
      <c r="A66" s="2" t="s">
        <v>37</v>
      </c>
      <c r="B66" s="3">
        <v>39017.0</v>
      </c>
      <c r="C66" s="3" t="s">
        <v>142</v>
      </c>
      <c r="D66" s="5">
        <v>46112.99998842592</v>
      </c>
      <c r="E66" s="2" t="s">
        <v>39</v>
      </c>
      <c r="F66" s="3">
        <v>81404.0</v>
      </c>
      <c r="G66" s="2" t="s">
        <v>369</v>
      </c>
      <c r="H66" s="5">
        <v>45795.98752314815</v>
      </c>
      <c r="I66" s="2" t="s">
        <v>57</v>
      </c>
      <c r="J66" s="2" t="s">
        <v>87</v>
      </c>
      <c r="K66" s="2" t="s">
        <v>88</v>
      </c>
      <c r="L66" s="2" t="s">
        <v>44</v>
      </c>
      <c r="M66" s="2" t="s">
        <v>111</v>
      </c>
      <c r="N66" s="2" t="s">
        <v>370</v>
      </c>
      <c r="O66" s="2" t="s">
        <v>371</v>
      </c>
      <c r="P66" s="4">
        <v>46268.0</v>
      </c>
      <c r="Q66" s="3" t="s">
        <v>208</v>
      </c>
      <c r="R66" s="3">
        <v>1995.0</v>
      </c>
      <c r="S66" s="2" t="s">
        <v>372</v>
      </c>
      <c r="T66" s="2" t="s">
        <v>88</v>
      </c>
      <c r="U66" s="2" t="s">
        <v>149</v>
      </c>
      <c r="V66" s="2" t="s">
        <v>150</v>
      </c>
      <c r="W66" s="2" t="s">
        <v>51</v>
      </c>
      <c r="X66" s="2" t="s">
        <v>96</v>
      </c>
      <c r="Y66" s="2" t="s">
        <v>210</v>
      </c>
      <c r="Z66" s="3">
        <v>7.0</v>
      </c>
      <c r="AA66" s="2" t="s">
        <v>164</v>
      </c>
      <c r="AB66" s="3">
        <v>75.0</v>
      </c>
      <c r="AC66" s="3">
        <v>60.0</v>
      </c>
      <c r="AD66" s="7">
        <v>0.6533</v>
      </c>
      <c r="AE66" s="3">
        <v>196.0</v>
      </c>
      <c r="AF66" s="3">
        <v>5.0</v>
      </c>
      <c r="AG66" s="3">
        <v>0.0</v>
      </c>
      <c r="AH66" s="3">
        <v>3.0</v>
      </c>
      <c r="AI66" s="3">
        <v>2.0</v>
      </c>
      <c r="AJ66" s="3">
        <v>0.0</v>
      </c>
      <c r="AK66" s="3">
        <v>5.0</v>
      </c>
    </row>
    <row r="67">
      <c r="A67" s="2" t="s">
        <v>37</v>
      </c>
      <c r="B67" s="3">
        <v>39075.0</v>
      </c>
      <c r="C67" s="4">
        <v>45666.0</v>
      </c>
      <c r="D67" s="3" t="s">
        <v>38</v>
      </c>
      <c r="E67" s="2" t="s">
        <v>72</v>
      </c>
      <c r="F67" s="3">
        <v>77367.0</v>
      </c>
      <c r="G67" s="2" t="s">
        <v>373</v>
      </c>
      <c r="H67" s="5">
        <v>45580.87212962963</v>
      </c>
      <c r="I67" s="2" t="s">
        <v>57</v>
      </c>
      <c r="J67" s="2" t="s">
        <v>42</v>
      </c>
      <c r="K67" s="2" t="s">
        <v>43</v>
      </c>
      <c r="L67" s="2" t="s">
        <v>44</v>
      </c>
      <c r="M67" s="2" t="s">
        <v>89</v>
      </c>
      <c r="N67" s="2" t="s">
        <v>374</v>
      </c>
      <c r="O67" s="2" t="s">
        <v>375</v>
      </c>
      <c r="P67" s="4">
        <v>46056.0</v>
      </c>
      <c r="Q67" s="4">
        <v>46206.0</v>
      </c>
      <c r="R67" s="3">
        <v>2013.0</v>
      </c>
      <c r="S67" s="2" t="s">
        <v>376</v>
      </c>
      <c r="T67" s="2" t="s">
        <v>43</v>
      </c>
      <c r="U67" s="2" t="s">
        <v>178</v>
      </c>
      <c r="V67" s="2" t="s">
        <v>251</v>
      </c>
      <c r="W67" s="2" t="s">
        <v>51</v>
      </c>
      <c r="X67" s="2" t="s">
        <v>172</v>
      </c>
      <c r="Y67" s="2" t="s">
        <v>53</v>
      </c>
      <c r="Z67" s="3">
        <v>5.0</v>
      </c>
      <c r="AA67" s="2" t="s">
        <v>180</v>
      </c>
      <c r="AB67" s="3">
        <v>25.0</v>
      </c>
      <c r="AC67" s="3">
        <v>25.0</v>
      </c>
      <c r="AD67" s="7">
        <v>0.88</v>
      </c>
      <c r="AE67" s="3">
        <v>44.0</v>
      </c>
      <c r="AF67" s="3">
        <v>2.0</v>
      </c>
      <c r="AG67" s="3">
        <v>0.0</v>
      </c>
      <c r="AH67" s="3">
        <v>1.0</v>
      </c>
      <c r="AI67" s="3">
        <v>1.0</v>
      </c>
      <c r="AJ67" s="3">
        <v>0.0</v>
      </c>
      <c r="AK67" s="3">
        <v>2.0</v>
      </c>
    </row>
    <row r="68">
      <c r="A68" s="2" t="s">
        <v>37</v>
      </c>
      <c r="B68" s="3">
        <v>37376.0</v>
      </c>
      <c r="C68" s="3" t="s">
        <v>85</v>
      </c>
      <c r="D68" s="3" t="s">
        <v>38</v>
      </c>
      <c r="E68" s="2" t="s">
        <v>39</v>
      </c>
      <c r="F68" s="3">
        <v>82513.0</v>
      </c>
      <c r="G68" s="2" t="s">
        <v>377</v>
      </c>
      <c r="H68" s="5">
        <v>45837.63835648148</v>
      </c>
      <c r="I68" s="2" t="s">
        <v>57</v>
      </c>
      <c r="J68" s="2" t="s">
        <v>378</v>
      </c>
      <c r="K68" s="2" t="s">
        <v>88</v>
      </c>
      <c r="L68" s="2" t="s">
        <v>44</v>
      </c>
      <c r="M68" s="2" t="s">
        <v>60</v>
      </c>
      <c r="N68" s="2" t="s">
        <v>100</v>
      </c>
      <c r="O68" s="2" t="s">
        <v>379</v>
      </c>
      <c r="P68" s="4">
        <v>46298.0</v>
      </c>
      <c r="Q68" s="3" t="s">
        <v>92</v>
      </c>
      <c r="R68" s="3">
        <v>1974.0</v>
      </c>
      <c r="S68" s="2" t="s">
        <v>380</v>
      </c>
      <c r="T68" s="2" t="s">
        <v>88</v>
      </c>
      <c r="U68" s="2" t="s">
        <v>94</v>
      </c>
      <c r="V68" s="2" t="s">
        <v>95</v>
      </c>
      <c r="W68" s="2" t="s">
        <v>51</v>
      </c>
      <c r="X68" s="2" t="s">
        <v>96</v>
      </c>
      <c r="Y68" s="2" t="s">
        <v>210</v>
      </c>
      <c r="Z68" s="3">
        <v>8.0</v>
      </c>
      <c r="AA68" s="2" t="s">
        <v>164</v>
      </c>
      <c r="AB68" s="3">
        <v>23.0</v>
      </c>
      <c r="AC68" s="3">
        <v>23.0</v>
      </c>
      <c r="AD68" s="7">
        <v>0.8696</v>
      </c>
      <c r="AE68" s="3">
        <v>60.0</v>
      </c>
      <c r="AF68" s="3">
        <v>4.0</v>
      </c>
      <c r="AG68" s="3">
        <v>0.0</v>
      </c>
      <c r="AH68" s="3">
        <v>2.0</v>
      </c>
      <c r="AI68" s="3">
        <v>1.0</v>
      </c>
      <c r="AJ68" s="3">
        <v>1.0</v>
      </c>
      <c r="AK68" s="3">
        <v>3.0</v>
      </c>
    </row>
    <row r="69">
      <c r="A69" s="2" t="s">
        <v>37</v>
      </c>
      <c r="B69" s="3">
        <v>38927.0</v>
      </c>
      <c r="C69" s="4">
        <v>45666.0</v>
      </c>
      <c r="D69" s="3" t="s">
        <v>38</v>
      </c>
      <c r="E69" s="2" t="s">
        <v>72</v>
      </c>
      <c r="F69" s="3">
        <v>84988.0</v>
      </c>
      <c r="G69" s="2" t="s">
        <v>381</v>
      </c>
      <c r="H69" s="5">
        <v>45889.66417824074</v>
      </c>
      <c r="I69" s="2" t="s">
        <v>382</v>
      </c>
      <c r="J69" s="2" t="s">
        <v>383</v>
      </c>
      <c r="K69" s="2" t="s">
        <v>81</v>
      </c>
      <c r="L69" s="2" t="s">
        <v>44</v>
      </c>
      <c r="M69" s="2" t="s">
        <v>111</v>
      </c>
      <c r="N69" s="2" t="s">
        <v>374</v>
      </c>
      <c r="O69" s="2" t="s">
        <v>384</v>
      </c>
      <c r="P69" s="4">
        <v>46145.0</v>
      </c>
      <c r="Q69" s="4">
        <v>46176.0</v>
      </c>
      <c r="R69" s="3">
        <v>1761.0</v>
      </c>
      <c r="S69" s="2" t="s">
        <v>80</v>
      </c>
      <c r="T69" s="2" t="s">
        <v>81</v>
      </c>
      <c r="U69" s="2" t="s">
        <v>82</v>
      </c>
      <c r="V69" s="2" t="s">
        <v>83</v>
      </c>
      <c r="W69" s="2" t="s">
        <v>68</v>
      </c>
      <c r="X69" s="2" t="s">
        <v>69</v>
      </c>
      <c r="Y69" s="2" t="s">
        <v>53</v>
      </c>
      <c r="Z69" s="3">
        <v>9.0</v>
      </c>
      <c r="AA69" s="2" t="s">
        <v>125</v>
      </c>
      <c r="AB69" s="3">
        <v>34.0</v>
      </c>
      <c r="AC69" s="3">
        <v>34.0</v>
      </c>
      <c r="AD69" s="7">
        <v>0.9118</v>
      </c>
      <c r="AE69" s="3">
        <v>62.0</v>
      </c>
      <c r="AF69" s="3">
        <v>2.0</v>
      </c>
      <c r="AG69" s="3">
        <v>0.0</v>
      </c>
      <c r="AH69" s="3">
        <v>1.0</v>
      </c>
      <c r="AI69" s="3">
        <v>1.0</v>
      </c>
      <c r="AJ69" s="3">
        <v>0.0</v>
      </c>
      <c r="AK69" s="3">
        <v>2.0</v>
      </c>
    </row>
    <row r="70">
      <c r="A70" s="2" t="s">
        <v>37</v>
      </c>
      <c r="B70" s="3">
        <v>36789.0</v>
      </c>
      <c r="C70" s="3" t="s">
        <v>71</v>
      </c>
      <c r="D70" s="3" t="s">
        <v>38</v>
      </c>
      <c r="E70" s="2" t="s">
        <v>72</v>
      </c>
      <c r="F70" s="3">
        <v>26459.0</v>
      </c>
      <c r="G70" s="2" t="s">
        <v>385</v>
      </c>
      <c r="H70" s="5">
        <v>43473.7902662037</v>
      </c>
      <c r="I70" s="2" t="s">
        <v>41</v>
      </c>
      <c r="J70" s="2" t="s">
        <v>42</v>
      </c>
      <c r="K70" s="2" t="s">
        <v>43</v>
      </c>
      <c r="L70" s="2" t="s">
        <v>44</v>
      </c>
      <c r="M70" s="2" t="s">
        <v>327</v>
      </c>
      <c r="O70" s="2" t="s">
        <v>386</v>
      </c>
      <c r="P70" s="4">
        <v>46056.0</v>
      </c>
      <c r="Q70" s="4">
        <v>46115.0</v>
      </c>
      <c r="R70" s="3">
        <v>1760.0</v>
      </c>
      <c r="S70" s="2" t="s">
        <v>223</v>
      </c>
      <c r="T70" s="2" t="s">
        <v>81</v>
      </c>
      <c r="U70" s="2" t="s">
        <v>82</v>
      </c>
      <c r="V70" s="2" t="s">
        <v>83</v>
      </c>
      <c r="W70" s="2" t="s">
        <v>68</v>
      </c>
      <c r="X70" s="2" t="s">
        <v>69</v>
      </c>
      <c r="Y70" s="2" t="s">
        <v>53</v>
      </c>
      <c r="Z70" s="3">
        <v>7.0</v>
      </c>
      <c r="AA70" s="2" t="s">
        <v>141</v>
      </c>
      <c r="AB70" s="3">
        <v>23.0</v>
      </c>
      <c r="AC70" s="3">
        <v>23.0</v>
      </c>
      <c r="AD70" s="7">
        <v>0.9565</v>
      </c>
      <c r="AE70" s="3">
        <v>44.0</v>
      </c>
      <c r="AF70" s="3">
        <v>2.0</v>
      </c>
      <c r="AG70" s="3">
        <v>0.0</v>
      </c>
      <c r="AH70" s="3">
        <v>0.0</v>
      </c>
      <c r="AI70" s="3">
        <v>2.0</v>
      </c>
      <c r="AJ70" s="3">
        <v>0.0</v>
      </c>
      <c r="AK70" s="3">
        <v>2.0</v>
      </c>
    </row>
    <row r="71">
      <c r="A71" s="2" t="s">
        <v>37</v>
      </c>
      <c r="B71" s="3">
        <v>39734.0</v>
      </c>
      <c r="C71" s="4">
        <v>45668.0</v>
      </c>
      <c r="D71" s="3" t="s">
        <v>38</v>
      </c>
      <c r="E71" s="2" t="s">
        <v>39</v>
      </c>
      <c r="F71" s="3">
        <v>28457.0</v>
      </c>
      <c r="G71" s="2" t="s">
        <v>387</v>
      </c>
      <c r="H71" s="5">
        <v>43619.99922453704</v>
      </c>
      <c r="I71" s="2" t="s">
        <v>388</v>
      </c>
      <c r="J71" s="2" t="s">
        <v>42</v>
      </c>
      <c r="K71" s="2" t="s">
        <v>43</v>
      </c>
      <c r="L71" s="2" t="s">
        <v>44</v>
      </c>
      <c r="M71" s="2" t="s">
        <v>389</v>
      </c>
      <c r="N71" s="2" t="s">
        <v>390</v>
      </c>
      <c r="O71" s="2" t="s">
        <v>391</v>
      </c>
      <c r="P71" s="4">
        <v>46176.0</v>
      </c>
      <c r="Q71" s="3" t="s">
        <v>63</v>
      </c>
      <c r="R71" s="3">
        <v>1324.0</v>
      </c>
      <c r="S71" s="2" t="s">
        <v>392</v>
      </c>
      <c r="T71" s="2" t="s">
        <v>59</v>
      </c>
      <c r="V71" s="6"/>
      <c r="W71" s="2" t="s">
        <v>51</v>
      </c>
      <c r="X71" s="2" t="s">
        <v>162</v>
      </c>
      <c r="Y71" s="2" t="s">
        <v>53</v>
      </c>
      <c r="Z71" s="3">
        <v>6.0</v>
      </c>
      <c r="AA71" s="2" t="s">
        <v>54</v>
      </c>
      <c r="AB71" s="3">
        <v>4.0</v>
      </c>
      <c r="AC71" s="3">
        <v>4.0</v>
      </c>
      <c r="AD71" s="7">
        <v>0.25</v>
      </c>
      <c r="AE71" s="3">
        <v>7.0</v>
      </c>
      <c r="AF71" s="3">
        <v>8.0</v>
      </c>
      <c r="AG71" s="3">
        <v>0.0</v>
      </c>
      <c r="AH71" s="3">
        <v>7.0</v>
      </c>
      <c r="AI71" s="3">
        <v>0.0</v>
      </c>
      <c r="AJ71" s="3">
        <v>1.0</v>
      </c>
      <c r="AK71" s="3">
        <v>7.0</v>
      </c>
    </row>
    <row r="72">
      <c r="A72" s="2" t="s">
        <v>37</v>
      </c>
      <c r="B72" s="3">
        <v>39735.0</v>
      </c>
      <c r="C72" s="4">
        <v>45668.0</v>
      </c>
      <c r="D72" s="3" t="s">
        <v>38</v>
      </c>
      <c r="E72" s="2" t="s">
        <v>39</v>
      </c>
      <c r="F72" s="3">
        <v>28457.0</v>
      </c>
      <c r="G72" s="2" t="s">
        <v>387</v>
      </c>
      <c r="H72" s="5">
        <v>43619.99922453704</v>
      </c>
      <c r="I72" s="2" t="s">
        <v>388</v>
      </c>
      <c r="J72" s="2" t="s">
        <v>42</v>
      </c>
      <c r="K72" s="2" t="s">
        <v>43</v>
      </c>
      <c r="L72" s="2" t="s">
        <v>44</v>
      </c>
      <c r="M72" s="2" t="s">
        <v>389</v>
      </c>
      <c r="N72" s="2" t="s">
        <v>390</v>
      </c>
      <c r="O72" s="2" t="s">
        <v>391</v>
      </c>
      <c r="P72" s="4">
        <v>46145.0</v>
      </c>
      <c r="Q72" s="3" t="s">
        <v>393</v>
      </c>
      <c r="R72" s="3">
        <v>1324.0</v>
      </c>
      <c r="S72" s="2" t="s">
        <v>392</v>
      </c>
      <c r="T72" s="2" t="s">
        <v>59</v>
      </c>
      <c r="V72" s="6"/>
      <c r="W72" s="2" t="s">
        <v>51</v>
      </c>
      <c r="X72" s="2" t="s">
        <v>162</v>
      </c>
      <c r="Y72" s="2" t="s">
        <v>53</v>
      </c>
      <c r="Z72" s="3">
        <v>5.0</v>
      </c>
      <c r="AA72" s="2" t="s">
        <v>54</v>
      </c>
      <c r="AB72" s="3">
        <v>31.0</v>
      </c>
      <c r="AC72" s="3">
        <v>24.0</v>
      </c>
      <c r="AD72" s="7">
        <v>0.1181</v>
      </c>
      <c r="AE72" s="3">
        <v>17.0</v>
      </c>
      <c r="AF72" s="3">
        <v>8.0</v>
      </c>
      <c r="AG72" s="3">
        <v>0.0</v>
      </c>
      <c r="AH72" s="3">
        <v>6.0</v>
      </c>
      <c r="AI72" s="3">
        <v>0.0</v>
      </c>
      <c r="AJ72" s="3">
        <v>2.0</v>
      </c>
      <c r="AK72" s="3">
        <v>6.0</v>
      </c>
    </row>
    <row r="73">
      <c r="A73" s="2" t="s">
        <v>37</v>
      </c>
      <c r="B73" s="3">
        <v>36844.0</v>
      </c>
      <c r="C73" s="3" t="s">
        <v>71</v>
      </c>
      <c r="D73" s="3" t="s">
        <v>38</v>
      </c>
      <c r="E73" s="2" t="s">
        <v>72</v>
      </c>
      <c r="F73" s="3">
        <v>78169.0</v>
      </c>
      <c r="G73" s="2" t="s">
        <v>394</v>
      </c>
      <c r="H73" s="5">
        <v>45616.667766203704</v>
      </c>
      <c r="I73" s="2" t="s">
        <v>57</v>
      </c>
      <c r="J73" s="2" t="s">
        <v>42</v>
      </c>
      <c r="K73" s="2" t="s">
        <v>43</v>
      </c>
      <c r="L73" s="2" t="s">
        <v>44</v>
      </c>
      <c r="M73" s="2" t="s">
        <v>183</v>
      </c>
      <c r="N73" s="2" t="s">
        <v>395</v>
      </c>
      <c r="O73" s="2" t="s">
        <v>396</v>
      </c>
      <c r="P73" s="4">
        <v>46084.0</v>
      </c>
      <c r="Q73" s="4">
        <v>46145.0</v>
      </c>
      <c r="R73" s="3">
        <v>1770.0</v>
      </c>
      <c r="S73" s="2" t="s">
        <v>397</v>
      </c>
      <c r="T73" s="2" t="s">
        <v>81</v>
      </c>
      <c r="U73" s="2" t="s">
        <v>398</v>
      </c>
      <c r="V73" s="2" t="s">
        <v>83</v>
      </c>
      <c r="W73" s="2" t="s">
        <v>68</v>
      </c>
      <c r="X73" s="2" t="s">
        <v>69</v>
      </c>
      <c r="Y73" s="2" t="s">
        <v>53</v>
      </c>
      <c r="Z73" s="3">
        <v>9.0</v>
      </c>
      <c r="AA73" s="2" t="s">
        <v>84</v>
      </c>
      <c r="AB73" s="3">
        <v>13.0</v>
      </c>
      <c r="AC73" s="3">
        <v>13.0</v>
      </c>
      <c r="AD73" s="7">
        <v>0.8462</v>
      </c>
      <c r="AE73" s="3">
        <v>22.0</v>
      </c>
      <c r="AF73" s="3">
        <v>2.0</v>
      </c>
      <c r="AG73" s="3">
        <v>0.0</v>
      </c>
      <c r="AH73" s="3">
        <v>2.0</v>
      </c>
      <c r="AI73" s="3">
        <v>0.0</v>
      </c>
      <c r="AJ73" s="3">
        <v>0.0</v>
      </c>
      <c r="AK73" s="3">
        <v>2.0</v>
      </c>
    </row>
    <row r="74">
      <c r="A74" s="2" t="s">
        <v>37</v>
      </c>
      <c r="B74" s="3">
        <v>37073.0</v>
      </c>
      <c r="C74" s="4">
        <v>45723.0</v>
      </c>
      <c r="D74" s="3" t="s">
        <v>38</v>
      </c>
      <c r="E74" s="2" t="s">
        <v>39</v>
      </c>
      <c r="F74" s="3">
        <v>31541.0</v>
      </c>
      <c r="G74" s="2" t="s">
        <v>399</v>
      </c>
      <c r="H74" s="5">
        <v>43797.18445601852</v>
      </c>
      <c r="I74" s="2" t="s">
        <v>57</v>
      </c>
      <c r="J74" s="2" t="s">
        <v>42</v>
      </c>
      <c r="K74" s="2" t="s">
        <v>43</v>
      </c>
      <c r="L74" s="2" t="s">
        <v>44</v>
      </c>
      <c r="M74" s="2" t="s">
        <v>400</v>
      </c>
      <c r="N74" s="2" t="s">
        <v>206</v>
      </c>
      <c r="O74" s="2" t="s">
        <v>401</v>
      </c>
      <c r="P74" s="4">
        <v>46115.0</v>
      </c>
      <c r="Q74" s="4">
        <v>46359.0</v>
      </c>
      <c r="R74" s="3">
        <v>1694.0</v>
      </c>
      <c r="S74" s="2" t="s">
        <v>47</v>
      </c>
      <c r="T74" s="2" t="s">
        <v>48</v>
      </c>
      <c r="U74" s="2" t="s">
        <v>49</v>
      </c>
      <c r="V74" s="2" t="s">
        <v>50</v>
      </c>
      <c r="W74" s="2" t="s">
        <v>51</v>
      </c>
      <c r="X74" s="2" t="s">
        <v>52</v>
      </c>
      <c r="Y74" s="2" t="s">
        <v>53</v>
      </c>
      <c r="Z74" s="3">
        <v>6.0</v>
      </c>
      <c r="AA74" s="2" t="s">
        <v>318</v>
      </c>
      <c r="AB74" s="3">
        <v>16.0</v>
      </c>
      <c r="AC74" s="3">
        <v>16.0</v>
      </c>
      <c r="AD74" s="7">
        <v>1.0</v>
      </c>
      <c r="AE74" s="3">
        <v>64.0</v>
      </c>
      <c r="AF74" s="3">
        <v>4.0</v>
      </c>
      <c r="AG74" s="3">
        <v>0.0</v>
      </c>
      <c r="AH74" s="3">
        <v>1.0</v>
      </c>
      <c r="AI74" s="3">
        <v>3.0</v>
      </c>
      <c r="AJ74" s="3">
        <v>0.0</v>
      </c>
      <c r="AK74" s="3">
        <v>4.0</v>
      </c>
    </row>
    <row r="75">
      <c r="A75" s="2" t="s">
        <v>37</v>
      </c>
      <c r="B75" s="3">
        <v>38979.0</v>
      </c>
      <c r="C75" s="3" t="s">
        <v>211</v>
      </c>
      <c r="D75" s="5">
        <v>46112.99998842592</v>
      </c>
      <c r="E75" s="2" t="s">
        <v>39</v>
      </c>
      <c r="F75" s="3">
        <v>86897.0</v>
      </c>
      <c r="G75" s="2" t="s">
        <v>402</v>
      </c>
      <c r="H75" s="5">
        <v>45977.68927083333</v>
      </c>
      <c r="I75" s="2" t="s">
        <v>57</v>
      </c>
      <c r="J75" s="2" t="s">
        <v>351</v>
      </c>
      <c r="K75" s="2" t="s">
        <v>88</v>
      </c>
      <c r="L75" s="2" t="s">
        <v>44</v>
      </c>
      <c r="M75" s="2" t="s">
        <v>403</v>
      </c>
      <c r="N75" s="2" t="s">
        <v>404</v>
      </c>
      <c r="O75" s="2" t="s">
        <v>405</v>
      </c>
      <c r="P75" s="4">
        <v>46298.0</v>
      </c>
      <c r="Q75" s="4">
        <v>46298.0</v>
      </c>
      <c r="R75" s="3">
        <v>2002.0</v>
      </c>
      <c r="S75" s="2" t="s">
        <v>216</v>
      </c>
      <c r="T75" s="2" t="s">
        <v>88</v>
      </c>
      <c r="U75" s="2" t="s">
        <v>149</v>
      </c>
      <c r="V75" s="2" t="s">
        <v>150</v>
      </c>
      <c r="W75" s="2" t="s">
        <v>51</v>
      </c>
      <c r="X75" s="2" t="s">
        <v>96</v>
      </c>
      <c r="Y75" s="2" t="s">
        <v>53</v>
      </c>
      <c r="Z75" s="3">
        <v>8.0</v>
      </c>
      <c r="AA75" s="2" t="s">
        <v>54</v>
      </c>
      <c r="AB75" s="3">
        <v>6.0</v>
      </c>
      <c r="AC75" s="3">
        <v>6.0</v>
      </c>
      <c r="AD75" s="7">
        <v>0.8571</v>
      </c>
      <c r="AE75" s="3">
        <v>6.0</v>
      </c>
      <c r="AF75" s="3">
        <v>1.0</v>
      </c>
      <c r="AG75" s="3">
        <v>0.0</v>
      </c>
      <c r="AH75" s="3">
        <v>0.0</v>
      </c>
      <c r="AI75" s="3">
        <v>1.0</v>
      </c>
      <c r="AJ75" s="3">
        <v>0.0</v>
      </c>
      <c r="AK75" s="3">
        <v>1.0</v>
      </c>
    </row>
    <row r="76">
      <c r="A76" s="2" t="s">
        <v>37</v>
      </c>
      <c r="B76" s="3">
        <v>39584.0</v>
      </c>
      <c r="C76" s="4">
        <v>45667.0</v>
      </c>
      <c r="D76" s="5">
        <v>46112.99998842592</v>
      </c>
      <c r="E76" s="2" t="s">
        <v>39</v>
      </c>
      <c r="F76" s="3">
        <v>40536.0</v>
      </c>
      <c r="G76" s="2" t="s">
        <v>406</v>
      </c>
      <c r="H76" s="5">
        <v>44058.60121527778</v>
      </c>
      <c r="I76" s="2" t="s">
        <v>57</v>
      </c>
      <c r="J76" s="2" t="s">
        <v>275</v>
      </c>
      <c r="K76" s="2" t="s">
        <v>59</v>
      </c>
      <c r="L76" s="2" t="s">
        <v>44</v>
      </c>
      <c r="M76" s="2" t="s">
        <v>407</v>
      </c>
      <c r="N76" s="2" t="s">
        <v>408</v>
      </c>
      <c r="O76" s="2" t="s">
        <v>409</v>
      </c>
      <c r="P76" s="4">
        <v>46268.0</v>
      </c>
      <c r="Q76" s="3" t="s">
        <v>208</v>
      </c>
      <c r="R76" s="3">
        <v>2000.0</v>
      </c>
      <c r="S76" s="2" t="s">
        <v>321</v>
      </c>
      <c r="T76" s="2" t="s">
        <v>88</v>
      </c>
      <c r="U76" s="2" t="s">
        <v>149</v>
      </c>
      <c r="V76" s="2" t="s">
        <v>150</v>
      </c>
      <c r="W76" s="2" t="s">
        <v>51</v>
      </c>
      <c r="X76" s="2" t="s">
        <v>96</v>
      </c>
      <c r="Y76" s="2" t="s">
        <v>210</v>
      </c>
      <c r="Z76" s="3">
        <v>7.0</v>
      </c>
      <c r="AA76" s="2" t="s">
        <v>164</v>
      </c>
      <c r="AB76" s="3">
        <v>37.0</v>
      </c>
      <c r="AC76" s="3">
        <v>37.0</v>
      </c>
      <c r="AD76" s="7">
        <v>0.6824</v>
      </c>
      <c r="AE76" s="3">
        <v>101.0</v>
      </c>
      <c r="AF76" s="3">
        <v>4.0</v>
      </c>
      <c r="AG76" s="3">
        <v>0.0</v>
      </c>
      <c r="AH76" s="3">
        <v>3.0</v>
      </c>
      <c r="AI76" s="3">
        <v>1.0</v>
      </c>
      <c r="AJ76" s="3">
        <v>0.0</v>
      </c>
      <c r="AK76" s="3">
        <v>4.0</v>
      </c>
    </row>
    <row r="77">
      <c r="A77" s="2" t="s">
        <v>37</v>
      </c>
      <c r="B77" s="3">
        <v>36981.0</v>
      </c>
      <c r="C77" s="4">
        <v>45662.0</v>
      </c>
      <c r="D77" s="3" t="s">
        <v>38</v>
      </c>
      <c r="E77" s="2" t="s">
        <v>72</v>
      </c>
      <c r="F77" s="3">
        <v>76484.0</v>
      </c>
      <c r="G77" s="2" t="s">
        <v>410</v>
      </c>
      <c r="H77" s="5">
        <v>45545.845555555556</v>
      </c>
      <c r="I77" s="2" t="s">
        <v>57</v>
      </c>
      <c r="J77" s="2" t="s">
        <v>411</v>
      </c>
      <c r="K77" s="2" t="s">
        <v>411</v>
      </c>
      <c r="L77" s="2" t="s">
        <v>412</v>
      </c>
      <c r="M77" s="2" t="s">
        <v>205</v>
      </c>
      <c r="N77" s="2" t="s">
        <v>413</v>
      </c>
      <c r="O77" s="2" t="s">
        <v>414</v>
      </c>
      <c r="P77" s="4">
        <v>46056.0</v>
      </c>
      <c r="Q77" s="4">
        <v>46056.0</v>
      </c>
      <c r="R77" s="3">
        <v>1765.0</v>
      </c>
      <c r="S77" s="2" t="s">
        <v>415</v>
      </c>
      <c r="T77" s="2" t="s">
        <v>81</v>
      </c>
      <c r="U77" s="2" t="s">
        <v>416</v>
      </c>
      <c r="V77" s="2" t="s">
        <v>83</v>
      </c>
      <c r="W77" s="2" t="s">
        <v>68</v>
      </c>
      <c r="X77" s="2" t="s">
        <v>69</v>
      </c>
      <c r="Y77" s="2" t="s">
        <v>53</v>
      </c>
      <c r="Z77" s="3">
        <v>6.0</v>
      </c>
      <c r="AA77" s="2" t="s">
        <v>180</v>
      </c>
      <c r="AB77" s="3">
        <v>31.0</v>
      </c>
      <c r="AC77" s="3">
        <v>31.0</v>
      </c>
      <c r="AD77" s="7">
        <v>1.0</v>
      </c>
      <c r="AE77" s="3">
        <v>31.0</v>
      </c>
      <c r="AF77" s="3">
        <v>1.0</v>
      </c>
      <c r="AG77" s="3">
        <v>0.0</v>
      </c>
      <c r="AH77" s="3">
        <v>0.0</v>
      </c>
      <c r="AI77" s="3">
        <v>1.0</v>
      </c>
      <c r="AJ77" s="3">
        <v>0.0</v>
      </c>
      <c r="AK77" s="3">
        <v>1.0</v>
      </c>
    </row>
    <row r="78">
      <c r="A78" s="2" t="s">
        <v>37</v>
      </c>
      <c r="B78" s="3">
        <v>38845.0</v>
      </c>
      <c r="C78" s="3" t="s">
        <v>106</v>
      </c>
      <c r="D78" s="3" t="s">
        <v>38</v>
      </c>
      <c r="E78" s="2" t="s">
        <v>39</v>
      </c>
      <c r="F78" s="3">
        <v>83424.0</v>
      </c>
      <c r="G78" s="2" t="s">
        <v>417</v>
      </c>
      <c r="H78" s="5">
        <v>45853.65231481481</v>
      </c>
      <c r="I78" s="2" t="s">
        <v>108</v>
      </c>
      <c r="J78" s="2" t="s">
        <v>418</v>
      </c>
      <c r="K78" s="2" t="s">
        <v>110</v>
      </c>
      <c r="L78" s="2" t="s">
        <v>44</v>
      </c>
      <c r="M78" s="2" t="s">
        <v>111</v>
      </c>
      <c r="N78" s="2" t="s">
        <v>419</v>
      </c>
      <c r="O78" s="2" t="s">
        <v>420</v>
      </c>
      <c r="P78" s="4">
        <v>46084.0</v>
      </c>
      <c r="Q78" s="3" t="s">
        <v>147</v>
      </c>
      <c r="R78" s="3">
        <v>1339.0</v>
      </c>
      <c r="S78" s="2" t="s">
        <v>421</v>
      </c>
      <c r="T78" s="2" t="s">
        <v>110</v>
      </c>
      <c r="U78" s="2" t="s">
        <v>115</v>
      </c>
      <c r="V78" s="2" t="s">
        <v>116</v>
      </c>
      <c r="W78" s="2" t="s">
        <v>51</v>
      </c>
      <c r="X78" s="2" t="s">
        <v>117</v>
      </c>
      <c r="Y78" s="2" t="s">
        <v>188</v>
      </c>
      <c r="Z78" s="3">
        <v>7.0</v>
      </c>
      <c r="AA78" s="2" t="s">
        <v>164</v>
      </c>
      <c r="AB78" s="3">
        <v>33.0</v>
      </c>
      <c r="AC78" s="3">
        <v>33.0</v>
      </c>
      <c r="AD78" s="7">
        <v>0.8902</v>
      </c>
      <c r="AE78" s="3">
        <v>235.0</v>
      </c>
      <c r="AF78" s="3">
        <v>8.0</v>
      </c>
      <c r="AG78" s="3">
        <v>0.0</v>
      </c>
      <c r="AH78" s="3">
        <v>8.0</v>
      </c>
      <c r="AI78" s="3">
        <v>0.0</v>
      </c>
      <c r="AJ78" s="3">
        <v>0.0</v>
      </c>
      <c r="AK78" s="3">
        <v>8.0</v>
      </c>
    </row>
    <row r="79">
      <c r="A79" s="2" t="s">
        <v>37</v>
      </c>
      <c r="B79" s="3">
        <v>38970.0</v>
      </c>
      <c r="C79" s="3" t="s">
        <v>211</v>
      </c>
      <c r="D79" s="5">
        <v>46112.99998842592</v>
      </c>
      <c r="E79" s="2" t="s">
        <v>39</v>
      </c>
      <c r="F79" s="3">
        <v>82347.0</v>
      </c>
      <c r="G79" s="2" t="s">
        <v>422</v>
      </c>
      <c r="H79" s="5">
        <v>45835.65777777778</v>
      </c>
      <c r="I79" s="2" t="s">
        <v>423</v>
      </c>
      <c r="J79" s="2" t="s">
        <v>351</v>
      </c>
      <c r="K79" s="2" t="s">
        <v>88</v>
      </c>
      <c r="L79" s="2" t="s">
        <v>44</v>
      </c>
      <c r="M79" s="2" t="s">
        <v>111</v>
      </c>
      <c r="N79" s="2" t="s">
        <v>424</v>
      </c>
      <c r="O79" s="2" t="s">
        <v>425</v>
      </c>
      <c r="P79" s="4">
        <v>46268.0</v>
      </c>
      <c r="Q79" s="3" t="s">
        <v>208</v>
      </c>
      <c r="R79" s="3">
        <v>1996.0</v>
      </c>
      <c r="S79" s="2" t="s">
        <v>329</v>
      </c>
      <c r="T79" s="2" t="s">
        <v>88</v>
      </c>
      <c r="U79" s="2" t="s">
        <v>149</v>
      </c>
      <c r="V79" s="2" t="s">
        <v>150</v>
      </c>
      <c r="W79" s="2" t="s">
        <v>51</v>
      </c>
      <c r="X79" s="2" t="s">
        <v>96</v>
      </c>
      <c r="Y79" s="2" t="s">
        <v>210</v>
      </c>
      <c r="Z79" s="3">
        <v>6.0</v>
      </c>
      <c r="AA79" s="2" t="s">
        <v>164</v>
      </c>
      <c r="AB79" s="3">
        <v>20.0</v>
      </c>
      <c r="AC79" s="3">
        <v>20.0</v>
      </c>
      <c r="AD79" s="7">
        <v>1.0</v>
      </c>
      <c r="AE79" s="3">
        <v>80.0</v>
      </c>
      <c r="AF79" s="3">
        <v>4.0</v>
      </c>
      <c r="AG79" s="3">
        <v>0.0</v>
      </c>
      <c r="AH79" s="3">
        <v>0.0</v>
      </c>
      <c r="AI79" s="3">
        <v>4.0</v>
      </c>
      <c r="AJ79" s="3">
        <v>0.0</v>
      </c>
      <c r="AK79" s="3">
        <v>4.0</v>
      </c>
    </row>
    <row r="80">
      <c r="A80" s="2" t="s">
        <v>37</v>
      </c>
      <c r="B80" s="3">
        <v>39798.0</v>
      </c>
      <c r="C80" s="3" t="s">
        <v>165</v>
      </c>
      <c r="D80" s="3" t="s">
        <v>38</v>
      </c>
      <c r="E80" s="2" t="s">
        <v>39</v>
      </c>
      <c r="F80" s="3">
        <v>84404.0</v>
      </c>
      <c r="G80" s="2" t="s">
        <v>426</v>
      </c>
      <c r="H80" s="5">
        <v>45867.57275462963</v>
      </c>
      <c r="I80" s="2" t="s">
        <v>57</v>
      </c>
      <c r="J80" s="2" t="s">
        <v>42</v>
      </c>
      <c r="K80" s="2" t="s">
        <v>43</v>
      </c>
      <c r="L80" s="2" t="s">
        <v>44</v>
      </c>
      <c r="M80" s="2" t="s">
        <v>183</v>
      </c>
      <c r="N80" s="2" t="s">
        <v>427</v>
      </c>
      <c r="O80" s="2" t="s">
        <v>428</v>
      </c>
      <c r="P80" s="4">
        <v>46115.0</v>
      </c>
      <c r="Q80" s="4">
        <v>46145.0</v>
      </c>
      <c r="R80" s="3">
        <v>1061.0</v>
      </c>
      <c r="S80" s="2" t="s">
        <v>170</v>
      </c>
      <c r="T80" s="2" t="s">
        <v>43</v>
      </c>
      <c r="U80" s="2" t="s">
        <v>171</v>
      </c>
      <c r="V80" s="2" t="s">
        <v>150</v>
      </c>
      <c r="W80" s="2" t="s">
        <v>51</v>
      </c>
      <c r="X80" s="2" t="s">
        <v>172</v>
      </c>
      <c r="Y80" s="2" t="s">
        <v>53</v>
      </c>
      <c r="Z80" s="3">
        <v>6.0</v>
      </c>
      <c r="AA80" s="2" t="s">
        <v>54</v>
      </c>
      <c r="AB80" s="3">
        <v>26.0</v>
      </c>
      <c r="AC80" s="3">
        <v>26.0</v>
      </c>
      <c r="AD80" s="7">
        <v>0.9231</v>
      </c>
      <c r="AE80" s="3">
        <v>24.0</v>
      </c>
      <c r="AF80" s="3">
        <v>2.0</v>
      </c>
      <c r="AG80" s="3">
        <v>0.0</v>
      </c>
      <c r="AH80" s="3">
        <v>0.0</v>
      </c>
      <c r="AI80" s="3">
        <v>1.0</v>
      </c>
      <c r="AJ80" s="3">
        <v>1.0</v>
      </c>
      <c r="AK80" s="3">
        <v>1.0</v>
      </c>
    </row>
    <row r="81">
      <c r="A81" s="2" t="s">
        <v>37</v>
      </c>
      <c r="B81" s="3">
        <v>39166.0</v>
      </c>
      <c r="C81" s="4">
        <v>45666.0</v>
      </c>
      <c r="D81" s="3" t="s">
        <v>38</v>
      </c>
      <c r="E81" s="2" t="s">
        <v>72</v>
      </c>
      <c r="F81" s="3">
        <v>46000.0</v>
      </c>
      <c r="G81" s="2" t="s">
        <v>429</v>
      </c>
      <c r="H81" s="5">
        <v>44233.766168981485</v>
      </c>
      <c r="I81" s="2" t="s">
        <v>57</v>
      </c>
      <c r="J81" s="2" t="s">
        <v>42</v>
      </c>
      <c r="K81" s="2" t="s">
        <v>43</v>
      </c>
      <c r="L81" s="2" t="s">
        <v>44</v>
      </c>
      <c r="M81" s="2" t="s">
        <v>327</v>
      </c>
      <c r="N81" s="2" t="s">
        <v>430</v>
      </c>
      <c r="O81" s="2" t="s">
        <v>431</v>
      </c>
      <c r="P81" s="4">
        <v>46084.0</v>
      </c>
      <c r="Q81" s="3" t="s">
        <v>92</v>
      </c>
      <c r="R81" s="3">
        <v>2025.0</v>
      </c>
      <c r="S81" s="2" t="s">
        <v>432</v>
      </c>
      <c r="T81" s="2" t="s">
        <v>43</v>
      </c>
      <c r="U81" s="2" t="s">
        <v>433</v>
      </c>
      <c r="V81" s="2" t="s">
        <v>434</v>
      </c>
      <c r="W81" s="2" t="s">
        <v>51</v>
      </c>
      <c r="X81" s="2" t="s">
        <v>172</v>
      </c>
      <c r="Y81" s="2" t="s">
        <v>53</v>
      </c>
      <c r="Z81" s="3">
        <v>6.0</v>
      </c>
      <c r="AA81" s="2" t="s">
        <v>54</v>
      </c>
      <c r="AB81" s="3">
        <v>32.0</v>
      </c>
      <c r="AC81" s="3">
        <v>32.0</v>
      </c>
      <c r="AD81" s="7">
        <v>0.8438</v>
      </c>
      <c r="AE81" s="3">
        <v>27.0</v>
      </c>
      <c r="AF81" s="3">
        <v>2.0</v>
      </c>
      <c r="AG81" s="3">
        <v>0.0</v>
      </c>
      <c r="AH81" s="3">
        <v>1.0</v>
      </c>
      <c r="AI81" s="3">
        <v>0.0</v>
      </c>
      <c r="AJ81" s="3">
        <v>1.0</v>
      </c>
      <c r="AK81" s="3">
        <v>1.0</v>
      </c>
    </row>
    <row r="82">
      <c r="A82" s="2" t="s">
        <v>37</v>
      </c>
      <c r="B82" s="3">
        <v>38286.0</v>
      </c>
      <c r="C82" s="3" t="s">
        <v>435</v>
      </c>
      <c r="D82" s="3" t="s">
        <v>38</v>
      </c>
      <c r="E82" s="2" t="s">
        <v>39</v>
      </c>
      <c r="F82" s="3">
        <v>83999.0</v>
      </c>
      <c r="G82" s="2" t="s">
        <v>436</v>
      </c>
      <c r="H82" s="5">
        <v>45858.747245370374</v>
      </c>
      <c r="I82" s="2" t="s">
        <v>57</v>
      </c>
      <c r="J82" s="2" t="s">
        <v>42</v>
      </c>
      <c r="K82" s="2" t="s">
        <v>43</v>
      </c>
      <c r="L82" s="2" t="s">
        <v>44</v>
      </c>
      <c r="M82" s="2" t="s">
        <v>403</v>
      </c>
      <c r="N82" s="2" t="s">
        <v>413</v>
      </c>
      <c r="O82" s="2" t="s">
        <v>437</v>
      </c>
      <c r="P82" s="4">
        <v>46298.0</v>
      </c>
      <c r="Q82" s="3" t="s">
        <v>92</v>
      </c>
      <c r="R82" s="3">
        <v>1755.0</v>
      </c>
      <c r="S82" s="2" t="s">
        <v>438</v>
      </c>
      <c r="T82" s="2" t="s">
        <v>88</v>
      </c>
      <c r="U82" s="2" t="s">
        <v>94</v>
      </c>
      <c r="V82" s="2" t="s">
        <v>95</v>
      </c>
      <c r="W82" s="2" t="s">
        <v>51</v>
      </c>
      <c r="X82" s="2" t="s">
        <v>96</v>
      </c>
      <c r="Y82" s="2" t="s">
        <v>210</v>
      </c>
      <c r="Z82" s="3">
        <v>7.0</v>
      </c>
      <c r="AA82" s="2" t="s">
        <v>164</v>
      </c>
      <c r="AB82" s="3">
        <v>50.0</v>
      </c>
      <c r="AC82" s="3">
        <v>49.0</v>
      </c>
      <c r="AD82" s="7">
        <v>0.6735</v>
      </c>
      <c r="AE82" s="3">
        <v>165.0</v>
      </c>
      <c r="AF82" s="3">
        <v>5.0</v>
      </c>
      <c r="AG82" s="3">
        <v>0.0</v>
      </c>
      <c r="AH82" s="3">
        <v>3.0</v>
      </c>
      <c r="AI82" s="3">
        <v>2.0</v>
      </c>
      <c r="AJ82" s="3">
        <v>0.0</v>
      </c>
      <c r="AK82" s="3">
        <v>5.0</v>
      </c>
    </row>
    <row r="83">
      <c r="A83" s="2" t="s">
        <v>37</v>
      </c>
      <c r="B83" s="3">
        <v>38321.0</v>
      </c>
      <c r="C83" s="3" t="s">
        <v>439</v>
      </c>
      <c r="D83" s="3" t="s">
        <v>440</v>
      </c>
      <c r="E83" s="2" t="s">
        <v>39</v>
      </c>
      <c r="F83" s="3">
        <v>81997.0</v>
      </c>
      <c r="G83" s="2" t="s">
        <v>441</v>
      </c>
      <c r="H83" s="5">
        <v>45826.60596064815</v>
      </c>
      <c r="I83" s="2" t="s">
        <v>442</v>
      </c>
      <c r="J83" s="2" t="s">
        <v>443</v>
      </c>
      <c r="K83" s="2" t="s">
        <v>59</v>
      </c>
      <c r="L83" s="2" t="s">
        <v>44</v>
      </c>
      <c r="M83" s="2" t="s">
        <v>111</v>
      </c>
      <c r="N83" s="2" t="s">
        <v>157</v>
      </c>
      <c r="O83" s="2" t="s">
        <v>444</v>
      </c>
      <c r="P83" s="4">
        <v>46176.0</v>
      </c>
      <c r="Q83" s="3" t="s">
        <v>393</v>
      </c>
      <c r="R83" s="3">
        <v>1809.0</v>
      </c>
      <c r="S83" s="2" t="s">
        <v>445</v>
      </c>
      <c r="T83" s="2" t="s">
        <v>59</v>
      </c>
      <c r="U83" s="2" t="s">
        <v>160</v>
      </c>
      <c r="V83" s="2" t="s">
        <v>161</v>
      </c>
      <c r="W83" s="2" t="s">
        <v>51</v>
      </c>
      <c r="X83" s="2" t="s">
        <v>162</v>
      </c>
      <c r="Y83" s="2" t="s">
        <v>53</v>
      </c>
      <c r="Z83" s="3">
        <v>7.0</v>
      </c>
      <c r="AA83" s="2" t="s">
        <v>54</v>
      </c>
      <c r="AB83" s="3">
        <v>12.0</v>
      </c>
      <c r="AC83" s="3">
        <v>12.0</v>
      </c>
      <c r="AD83" s="7">
        <v>1.0</v>
      </c>
      <c r="AE83" s="3">
        <v>72.0</v>
      </c>
      <c r="AF83" s="3">
        <v>6.0</v>
      </c>
      <c r="AG83" s="3">
        <v>0.0</v>
      </c>
      <c r="AH83" s="3">
        <v>6.0</v>
      </c>
      <c r="AI83" s="3">
        <v>0.0</v>
      </c>
      <c r="AJ83" s="3">
        <v>0.0</v>
      </c>
      <c r="AK83" s="3">
        <v>6.0</v>
      </c>
    </row>
    <row r="84">
      <c r="A84" s="2" t="s">
        <v>37</v>
      </c>
      <c r="B84" s="3">
        <v>40203.0</v>
      </c>
      <c r="C84" s="3" t="s">
        <v>55</v>
      </c>
      <c r="D84" s="3" t="s">
        <v>38</v>
      </c>
      <c r="E84" s="2" t="s">
        <v>39</v>
      </c>
      <c r="F84" s="3">
        <v>87570.0</v>
      </c>
      <c r="G84" s="2" t="s">
        <v>446</v>
      </c>
      <c r="H84" s="5">
        <v>46009.63891203704</v>
      </c>
      <c r="I84" s="2" t="s">
        <v>57</v>
      </c>
      <c r="J84" s="2" t="s">
        <v>120</v>
      </c>
      <c r="K84" s="2" t="s">
        <v>121</v>
      </c>
      <c r="L84" s="2" t="s">
        <v>44</v>
      </c>
      <c r="M84" s="2" t="s">
        <v>89</v>
      </c>
      <c r="N84" s="2" t="s">
        <v>100</v>
      </c>
      <c r="O84" s="2" t="s">
        <v>447</v>
      </c>
      <c r="P84" s="4">
        <v>46145.0</v>
      </c>
      <c r="Q84" s="3" t="s">
        <v>236</v>
      </c>
      <c r="R84" s="3">
        <v>1790.0</v>
      </c>
      <c r="S84" s="2" t="s">
        <v>289</v>
      </c>
      <c r="T84" s="2" t="s">
        <v>65</v>
      </c>
      <c r="U84" s="2" t="s">
        <v>66</v>
      </c>
      <c r="V84" s="2" t="s">
        <v>67</v>
      </c>
      <c r="W84" s="2" t="s">
        <v>68</v>
      </c>
      <c r="X84" s="2" t="s">
        <v>69</v>
      </c>
      <c r="Y84" s="2" t="s">
        <v>53</v>
      </c>
      <c r="Z84" s="3">
        <v>7.0</v>
      </c>
      <c r="AA84" s="2" t="s">
        <v>134</v>
      </c>
      <c r="AB84" s="3">
        <v>27.0</v>
      </c>
      <c r="AC84" s="3">
        <v>27.0</v>
      </c>
      <c r="AD84" s="7">
        <v>0.8667</v>
      </c>
      <c r="AE84" s="3">
        <v>117.0</v>
      </c>
      <c r="AF84" s="3">
        <v>5.0</v>
      </c>
      <c r="AG84" s="3">
        <v>0.0</v>
      </c>
      <c r="AH84" s="3">
        <v>4.0</v>
      </c>
      <c r="AI84" s="3">
        <v>1.0</v>
      </c>
      <c r="AJ84" s="3">
        <v>0.0</v>
      </c>
      <c r="AK84" s="3">
        <v>5.0</v>
      </c>
    </row>
    <row r="85">
      <c r="A85" s="2" t="s">
        <v>37</v>
      </c>
      <c r="B85" s="3">
        <v>40195.0</v>
      </c>
      <c r="C85" s="3" t="s">
        <v>55</v>
      </c>
      <c r="D85" s="3" t="s">
        <v>38</v>
      </c>
      <c r="E85" s="2" t="s">
        <v>39</v>
      </c>
      <c r="F85" s="3">
        <v>81637.0</v>
      </c>
      <c r="G85" s="2" t="s">
        <v>448</v>
      </c>
      <c r="H85" s="5">
        <v>45809.55028935185</v>
      </c>
      <c r="I85" s="2" t="s">
        <v>57</v>
      </c>
      <c r="J85" s="2" t="s">
        <v>449</v>
      </c>
      <c r="K85" s="2" t="s">
        <v>450</v>
      </c>
      <c r="L85" s="2" t="s">
        <v>451</v>
      </c>
      <c r="M85" s="2" t="s">
        <v>60</v>
      </c>
      <c r="N85" s="2" t="s">
        <v>100</v>
      </c>
      <c r="O85" s="2" t="s">
        <v>452</v>
      </c>
      <c r="P85" s="4">
        <v>46145.0</v>
      </c>
      <c r="Q85" s="3" t="s">
        <v>236</v>
      </c>
      <c r="R85" s="3">
        <v>1774.0</v>
      </c>
      <c r="S85" s="2" t="s">
        <v>131</v>
      </c>
      <c r="T85" s="2" t="s">
        <v>65</v>
      </c>
      <c r="U85" s="2" t="s">
        <v>104</v>
      </c>
      <c r="V85" s="2" t="s">
        <v>67</v>
      </c>
      <c r="W85" s="2" t="s">
        <v>68</v>
      </c>
      <c r="X85" s="2" t="s">
        <v>69</v>
      </c>
      <c r="Y85" s="2" t="s">
        <v>53</v>
      </c>
      <c r="Z85" s="3">
        <v>6.0</v>
      </c>
      <c r="AA85" s="2" t="s">
        <v>70</v>
      </c>
      <c r="AB85" s="3">
        <v>22.0</v>
      </c>
      <c r="AC85" s="3">
        <v>22.0</v>
      </c>
      <c r="AD85" s="7">
        <v>0.8</v>
      </c>
      <c r="AE85" s="3">
        <v>88.0</v>
      </c>
      <c r="AF85" s="3">
        <v>5.0</v>
      </c>
      <c r="AG85" s="3">
        <v>0.0</v>
      </c>
      <c r="AH85" s="3">
        <v>4.0</v>
      </c>
      <c r="AI85" s="3">
        <v>1.0</v>
      </c>
      <c r="AJ85" s="3">
        <v>0.0</v>
      </c>
      <c r="AK85" s="3">
        <v>5.0</v>
      </c>
    </row>
    <row r="86">
      <c r="A86" s="2" t="s">
        <v>37</v>
      </c>
      <c r="B86" s="3">
        <v>38755.0</v>
      </c>
      <c r="C86" s="4">
        <v>45846.0</v>
      </c>
      <c r="D86" s="3" t="s">
        <v>38</v>
      </c>
      <c r="E86" s="2" t="s">
        <v>39</v>
      </c>
      <c r="F86" s="3">
        <v>83813.0</v>
      </c>
      <c r="G86" s="2" t="s">
        <v>453</v>
      </c>
      <c r="H86" s="5">
        <v>45855.200844907406</v>
      </c>
      <c r="I86" s="2" t="s">
        <v>108</v>
      </c>
      <c r="J86" s="2" t="s">
        <v>454</v>
      </c>
      <c r="K86" s="2" t="s">
        <v>455</v>
      </c>
      <c r="L86" s="2" t="s">
        <v>44</v>
      </c>
      <c r="M86" s="2" t="s">
        <v>111</v>
      </c>
      <c r="N86" s="2" t="s">
        <v>456</v>
      </c>
      <c r="O86" s="2" t="s">
        <v>457</v>
      </c>
      <c r="P86" s="4">
        <v>46206.0</v>
      </c>
      <c r="Q86" s="3" t="s">
        <v>229</v>
      </c>
      <c r="R86" s="3">
        <v>1986.0</v>
      </c>
      <c r="S86" s="2" t="s">
        <v>240</v>
      </c>
      <c r="T86" s="2" t="s">
        <v>65</v>
      </c>
      <c r="U86" s="2" t="s">
        <v>104</v>
      </c>
      <c r="V86" s="2" t="s">
        <v>150</v>
      </c>
      <c r="W86" s="2" t="s">
        <v>51</v>
      </c>
      <c r="X86" s="2" t="s">
        <v>69</v>
      </c>
      <c r="Y86" s="2" t="s">
        <v>53</v>
      </c>
      <c r="Z86" s="3">
        <v>8.0</v>
      </c>
      <c r="AA86" s="2" t="s">
        <v>231</v>
      </c>
      <c r="AB86" s="3">
        <v>39.0</v>
      </c>
      <c r="AC86" s="3">
        <v>39.0</v>
      </c>
      <c r="AD86" s="7">
        <v>0.7778</v>
      </c>
      <c r="AE86" s="3">
        <v>91.0</v>
      </c>
      <c r="AF86" s="3">
        <v>3.0</v>
      </c>
      <c r="AG86" s="3">
        <v>0.0</v>
      </c>
      <c r="AH86" s="3">
        <v>2.0</v>
      </c>
      <c r="AI86" s="3">
        <v>1.0</v>
      </c>
      <c r="AJ86" s="3">
        <v>0.0</v>
      </c>
      <c r="AK86" s="3">
        <v>3.0</v>
      </c>
    </row>
    <row r="87">
      <c r="A87" s="2" t="s">
        <v>37</v>
      </c>
      <c r="B87" s="3">
        <v>38986.0</v>
      </c>
      <c r="C87" s="3" t="s">
        <v>142</v>
      </c>
      <c r="D87" s="5">
        <v>46112.99998842592</v>
      </c>
      <c r="E87" s="2" t="s">
        <v>39</v>
      </c>
      <c r="F87" s="3">
        <v>87998.0</v>
      </c>
      <c r="G87" s="2" t="s">
        <v>458</v>
      </c>
      <c r="H87" s="5">
        <v>46030.90472222222</v>
      </c>
      <c r="I87" s="2" t="s">
        <v>57</v>
      </c>
      <c r="J87" s="2" t="s">
        <v>156</v>
      </c>
      <c r="K87" s="2" t="s">
        <v>59</v>
      </c>
      <c r="L87" s="2" t="s">
        <v>44</v>
      </c>
      <c r="M87" s="2" t="s">
        <v>89</v>
      </c>
      <c r="N87" s="2" t="s">
        <v>459</v>
      </c>
      <c r="O87" s="2" t="s">
        <v>460</v>
      </c>
      <c r="P87" s="4">
        <v>46268.0</v>
      </c>
      <c r="Q87" s="3" t="s">
        <v>147</v>
      </c>
      <c r="R87" s="3">
        <v>1994.0</v>
      </c>
      <c r="S87" s="2" t="s">
        <v>354</v>
      </c>
      <c r="T87" s="2" t="s">
        <v>88</v>
      </c>
      <c r="U87" s="2" t="s">
        <v>149</v>
      </c>
      <c r="V87" s="2" t="s">
        <v>150</v>
      </c>
      <c r="W87" s="2" t="s">
        <v>51</v>
      </c>
      <c r="X87" s="2" t="s">
        <v>96</v>
      </c>
      <c r="Y87" s="2" t="s">
        <v>210</v>
      </c>
      <c r="Z87" s="3">
        <v>6.0</v>
      </c>
      <c r="AA87" s="2" t="s">
        <v>164</v>
      </c>
      <c r="AB87" s="3">
        <v>15.0</v>
      </c>
      <c r="AC87" s="3">
        <v>15.0</v>
      </c>
      <c r="AD87" s="7">
        <v>1.0</v>
      </c>
      <c r="AE87" s="3">
        <v>90.0</v>
      </c>
      <c r="AF87" s="3">
        <v>6.0</v>
      </c>
      <c r="AG87" s="3">
        <v>0.0</v>
      </c>
      <c r="AH87" s="3">
        <v>5.0</v>
      </c>
      <c r="AI87" s="3">
        <v>1.0</v>
      </c>
      <c r="AJ87" s="3">
        <v>0.0</v>
      </c>
      <c r="AK87" s="3">
        <v>6.0</v>
      </c>
    </row>
    <row r="88">
      <c r="A88" s="2" t="s">
        <v>37</v>
      </c>
      <c r="B88" s="3">
        <v>38994.0</v>
      </c>
      <c r="C88" s="3" t="s">
        <v>142</v>
      </c>
      <c r="D88" s="5">
        <v>46112.99998842592</v>
      </c>
      <c r="E88" s="2" t="s">
        <v>39</v>
      </c>
      <c r="F88" s="3">
        <v>83361.0</v>
      </c>
      <c r="G88" s="2" t="s">
        <v>461</v>
      </c>
      <c r="H88" s="5">
        <v>45853.648877314816</v>
      </c>
      <c r="I88" s="2" t="s">
        <v>108</v>
      </c>
      <c r="J88" s="2" t="s">
        <v>351</v>
      </c>
      <c r="K88" s="2" t="s">
        <v>88</v>
      </c>
      <c r="L88" s="2" t="s">
        <v>44</v>
      </c>
      <c r="M88" s="2" t="s">
        <v>111</v>
      </c>
      <c r="N88" s="2" t="s">
        <v>462</v>
      </c>
      <c r="O88" s="2" t="s">
        <v>463</v>
      </c>
      <c r="P88" s="4">
        <v>46298.0</v>
      </c>
      <c r="Q88" s="3" t="s">
        <v>92</v>
      </c>
      <c r="R88" s="3">
        <v>1997.0</v>
      </c>
      <c r="S88" s="2" t="s">
        <v>148</v>
      </c>
      <c r="T88" s="2" t="s">
        <v>88</v>
      </c>
      <c r="U88" s="2" t="s">
        <v>149</v>
      </c>
      <c r="V88" s="2" t="s">
        <v>150</v>
      </c>
      <c r="W88" s="2" t="s">
        <v>51</v>
      </c>
      <c r="X88" s="2" t="s">
        <v>96</v>
      </c>
      <c r="Y88" s="2" t="s">
        <v>210</v>
      </c>
      <c r="Z88" s="3">
        <v>6.0</v>
      </c>
      <c r="AA88" s="2" t="s">
        <v>164</v>
      </c>
      <c r="AB88" s="3">
        <v>37.0</v>
      </c>
      <c r="AC88" s="3">
        <v>37.0</v>
      </c>
      <c r="AD88" s="7">
        <v>0.7838</v>
      </c>
      <c r="AE88" s="3">
        <v>116.0</v>
      </c>
      <c r="AF88" s="3">
        <v>4.0</v>
      </c>
      <c r="AG88" s="3">
        <v>0.0</v>
      </c>
      <c r="AH88" s="3">
        <v>3.0</v>
      </c>
      <c r="AI88" s="3">
        <v>1.0</v>
      </c>
      <c r="AJ88" s="3">
        <v>0.0</v>
      </c>
      <c r="AK88" s="3">
        <v>4.0</v>
      </c>
    </row>
    <row r="89">
      <c r="A89" s="2" t="s">
        <v>37</v>
      </c>
      <c r="B89" s="3">
        <v>38989.0</v>
      </c>
      <c r="C89" s="3" t="s">
        <v>142</v>
      </c>
      <c r="D89" s="5">
        <v>46112.99998842592</v>
      </c>
      <c r="E89" s="2" t="s">
        <v>39</v>
      </c>
      <c r="F89" s="3">
        <v>88563.0</v>
      </c>
      <c r="G89" s="2" t="s">
        <v>464</v>
      </c>
      <c r="H89" s="5">
        <v>46062.65553240741</v>
      </c>
      <c r="I89" s="2" t="s">
        <v>57</v>
      </c>
      <c r="J89" s="2" t="s">
        <v>204</v>
      </c>
      <c r="K89" s="2" t="s">
        <v>88</v>
      </c>
      <c r="L89" s="2" t="s">
        <v>44</v>
      </c>
      <c r="M89" s="2" t="s">
        <v>403</v>
      </c>
      <c r="N89" s="2" t="s">
        <v>413</v>
      </c>
      <c r="O89" s="2" t="s">
        <v>465</v>
      </c>
      <c r="P89" s="4">
        <v>46359.0</v>
      </c>
      <c r="Q89" s="3" t="s">
        <v>169</v>
      </c>
      <c r="R89" s="3">
        <v>1994.0</v>
      </c>
      <c r="S89" s="2" t="s">
        <v>354</v>
      </c>
      <c r="T89" s="2" t="s">
        <v>88</v>
      </c>
      <c r="U89" s="2" t="s">
        <v>149</v>
      </c>
      <c r="V89" s="2" t="s">
        <v>150</v>
      </c>
      <c r="W89" s="2" t="s">
        <v>51</v>
      </c>
      <c r="X89" s="2" t="s">
        <v>96</v>
      </c>
      <c r="Y89" s="2" t="s">
        <v>53</v>
      </c>
      <c r="Z89" s="3">
        <v>8.0</v>
      </c>
      <c r="AA89" s="2" t="s">
        <v>54</v>
      </c>
      <c r="AB89" s="3">
        <v>30.0</v>
      </c>
      <c r="AC89" s="3">
        <v>30.0</v>
      </c>
      <c r="AD89" s="7">
        <v>0.9778</v>
      </c>
      <c r="AE89" s="3">
        <v>88.0</v>
      </c>
      <c r="AF89" s="3">
        <v>3.0</v>
      </c>
      <c r="AG89" s="3">
        <v>0.0</v>
      </c>
      <c r="AH89" s="3">
        <v>3.0</v>
      </c>
      <c r="AI89" s="3">
        <v>0.0</v>
      </c>
      <c r="AJ89" s="3">
        <v>0.0</v>
      </c>
      <c r="AK89" s="3">
        <v>3.0</v>
      </c>
    </row>
    <row r="90">
      <c r="A90" s="2" t="s">
        <v>37</v>
      </c>
      <c r="B90" s="3">
        <v>36793.0</v>
      </c>
      <c r="C90" s="3" t="s">
        <v>71</v>
      </c>
      <c r="D90" s="3" t="s">
        <v>38</v>
      </c>
      <c r="E90" s="2" t="s">
        <v>72</v>
      </c>
      <c r="F90" s="3">
        <v>75939.0</v>
      </c>
      <c r="G90" s="2" t="s">
        <v>466</v>
      </c>
      <c r="H90" s="5">
        <v>45526.705034722225</v>
      </c>
      <c r="I90" s="2" t="s">
        <v>467</v>
      </c>
      <c r="J90" s="2" t="s">
        <v>275</v>
      </c>
      <c r="K90" s="2" t="s">
        <v>59</v>
      </c>
      <c r="L90" s="2" t="s">
        <v>44</v>
      </c>
      <c r="M90" s="2" t="s">
        <v>111</v>
      </c>
      <c r="N90" s="2" t="s">
        <v>468</v>
      </c>
      <c r="O90" s="2" t="s">
        <v>469</v>
      </c>
      <c r="P90" s="4">
        <v>46056.0</v>
      </c>
      <c r="Q90" s="4">
        <v>46056.0</v>
      </c>
      <c r="R90" s="3">
        <v>1761.0</v>
      </c>
      <c r="S90" s="2" t="s">
        <v>80</v>
      </c>
      <c r="T90" s="2" t="s">
        <v>81</v>
      </c>
      <c r="U90" s="2" t="s">
        <v>82</v>
      </c>
      <c r="V90" s="2" t="s">
        <v>83</v>
      </c>
      <c r="W90" s="2" t="s">
        <v>68</v>
      </c>
      <c r="X90" s="2" t="s">
        <v>69</v>
      </c>
      <c r="Y90" s="2" t="s">
        <v>53</v>
      </c>
      <c r="Z90" s="3">
        <v>7.0</v>
      </c>
      <c r="AA90" s="2" t="s">
        <v>141</v>
      </c>
      <c r="AB90" s="3">
        <v>19.0</v>
      </c>
      <c r="AC90" s="3">
        <v>19.0</v>
      </c>
      <c r="AD90" s="7">
        <v>0.8421</v>
      </c>
      <c r="AE90" s="3">
        <v>16.0</v>
      </c>
      <c r="AF90" s="3">
        <v>1.0</v>
      </c>
      <c r="AG90" s="3">
        <v>0.0</v>
      </c>
      <c r="AH90" s="3">
        <v>1.0</v>
      </c>
      <c r="AI90" s="3">
        <v>0.0</v>
      </c>
      <c r="AJ90" s="3">
        <v>0.0</v>
      </c>
      <c r="AK90" s="3">
        <v>1.0</v>
      </c>
    </row>
    <row r="91">
      <c r="A91" s="2" t="s">
        <v>37</v>
      </c>
      <c r="B91" s="3">
        <v>37063.0</v>
      </c>
      <c r="C91" s="3" t="s">
        <v>196</v>
      </c>
      <c r="D91" s="3" t="s">
        <v>38</v>
      </c>
      <c r="E91" s="2" t="s">
        <v>39</v>
      </c>
      <c r="F91" s="3">
        <v>81008.0</v>
      </c>
      <c r="G91" s="2" t="s">
        <v>470</v>
      </c>
      <c r="H91" s="5">
        <v>45767.53107638889</v>
      </c>
      <c r="I91" s="2" t="s">
        <v>57</v>
      </c>
      <c r="J91" s="2" t="s">
        <v>127</v>
      </c>
      <c r="K91" s="2" t="s">
        <v>128</v>
      </c>
      <c r="L91" s="2" t="s">
        <v>44</v>
      </c>
      <c r="M91" s="2" t="s">
        <v>77</v>
      </c>
      <c r="N91" s="2" t="s">
        <v>100</v>
      </c>
      <c r="O91" s="2" t="s">
        <v>471</v>
      </c>
      <c r="P91" s="4">
        <v>46115.0</v>
      </c>
      <c r="Q91" s="4">
        <v>46359.0</v>
      </c>
      <c r="R91" s="3">
        <v>1691.0</v>
      </c>
      <c r="S91" s="2" t="s">
        <v>339</v>
      </c>
      <c r="T91" s="2" t="s">
        <v>48</v>
      </c>
      <c r="U91" s="2" t="s">
        <v>49</v>
      </c>
      <c r="V91" s="2" t="s">
        <v>50</v>
      </c>
      <c r="W91" s="2" t="s">
        <v>51</v>
      </c>
      <c r="X91" s="2" t="s">
        <v>52</v>
      </c>
      <c r="Y91" s="2" t="s">
        <v>53</v>
      </c>
      <c r="Z91" s="3">
        <v>8.0</v>
      </c>
      <c r="AA91" s="2" t="s">
        <v>318</v>
      </c>
      <c r="AB91" s="3">
        <v>33.0</v>
      </c>
      <c r="AC91" s="3">
        <v>33.0</v>
      </c>
      <c r="AD91" s="7">
        <v>0.7273</v>
      </c>
      <c r="AE91" s="3">
        <v>96.0</v>
      </c>
      <c r="AF91" s="3">
        <v>4.0</v>
      </c>
      <c r="AG91" s="3">
        <v>0.0</v>
      </c>
      <c r="AH91" s="3">
        <v>4.0</v>
      </c>
      <c r="AI91" s="3">
        <v>0.0</v>
      </c>
      <c r="AJ91" s="3">
        <v>0.0</v>
      </c>
      <c r="AK91" s="3">
        <v>4.0</v>
      </c>
    </row>
    <row r="92">
      <c r="A92" s="2" t="s">
        <v>37</v>
      </c>
      <c r="B92" s="3">
        <v>37372.0</v>
      </c>
      <c r="C92" s="3" t="s">
        <v>85</v>
      </c>
      <c r="D92" s="3" t="s">
        <v>38</v>
      </c>
      <c r="E92" s="2" t="s">
        <v>39</v>
      </c>
      <c r="F92" s="3">
        <v>84624.0</v>
      </c>
      <c r="G92" s="2" t="s">
        <v>472</v>
      </c>
      <c r="H92" s="5">
        <v>45875.33607638889</v>
      </c>
      <c r="I92" s="2" t="s">
        <v>57</v>
      </c>
      <c r="J92" s="2" t="s">
        <v>473</v>
      </c>
      <c r="K92" s="2" t="s">
        <v>474</v>
      </c>
      <c r="L92" s="2" t="s">
        <v>44</v>
      </c>
      <c r="M92" s="2" t="s">
        <v>77</v>
      </c>
      <c r="N92" s="2" t="s">
        <v>100</v>
      </c>
      <c r="O92" s="2" t="s">
        <v>475</v>
      </c>
      <c r="P92" s="4">
        <v>46268.0</v>
      </c>
      <c r="Q92" s="3" t="s">
        <v>208</v>
      </c>
      <c r="R92" s="3">
        <v>1974.0</v>
      </c>
      <c r="S92" s="2" t="s">
        <v>380</v>
      </c>
      <c r="T92" s="2" t="s">
        <v>88</v>
      </c>
      <c r="U92" s="2" t="s">
        <v>94</v>
      </c>
      <c r="V92" s="2" t="s">
        <v>95</v>
      </c>
      <c r="W92" s="2" t="s">
        <v>51</v>
      </c>
      <c r="X92" s="2" t="s">
        <v>96</v>
      </c>
      <c r="Y92" s="2" t="s">
        <v>53</v>
      </c>
      <c r="Z92" s="3">
        <v>8.0</v>
      </c>
      <c r="AA92" s="2" t="s">
        <v>54</v>
      </c>
      <c r="AB92" s="3">
        <v>23.0</v>
      </c>
      <c r="AC92" s="3">
        <v>23.0</v>
      </c>
      <c r="AD92" s="7">
        <v>0.9043</v>
      </c>
      <c r="AE92" s="3">
        <v>104.0</v>
      </c>
      <c r="AF92" s="3">
        <v>5.0</v>
      </c>
      <c r="AG92" s="3">
        <v>0.0</v>
      </c>
      <c r="AH92" s="3">
        <v>0.0</v>
      </c>
      <c r="AI92" s="3">
        <v>5.0</v>
      </c>
      <c r="AJ92" s="3">
        <v>0.0</v>
      </c>
      <c r="AK92" s="3">
        <v>5.0</v>
      </c>
    </row>
    <row r="93">
      <c r="A93" s="2" t="s">
        <v>37</v>
      </c>
      <c r="B93" s="3">
        <v>39007.0</v>
      </c>
      <c r="C93" s="3" t="s">
        <v>142</v>
      </c>
      <c r="D93" s="5">
        <v>46112.99998842592</v>
      </c>
      <c r="E93" s="2" t="s">
        <v>39</v>
      </c>
      <c r="F93" s="3">
        <v>84970.0</v>
      </c>
      <c r="G93" s="2" t="s">
        <v>476</v>
      </c>
      <c r="H93" s="5">
        <v>45888.86048611111</v>
      </c>
      <c r="I93" s="2" t="s">
        <v>57</v>
      </c>
      <c r="J93" s="2" t="s">
        <v>477</v>
      </c>
      <c r="K93" s="2" t="s">
        <v>286</v>
      </c>
      <c r="L93" s="2" t="s">
        <v>44</v>
      </c>
      <c r="M93" s="2" t="s">
        <v>99</v>
      </c>
      <c r="N93" s="2" t="s">
        <v>242</v>
      </c>
      <c r="O93" s="2" t="s">
        <v>478</v>
      </c>
      <c r="P93" s="4">
        <v>46268.0</v>
      </c>
      <c r="Q93" s="3" t="s">
        <v>208</v>
      </c>
      <c r="R93" s="3">
        <v>2001.0</v>
      </c>
      <c r="S93" s="2" t="s">
        <v>209</v>
      </c>
      <c r="T93" s="2" t="s">
        <v>88</v>
      </c>
      <c r="U93" s="2" t="s">
        <v>149</v>
      </c>
      <c r="V93" s="2" t="s">
        <v>150</v>
      </c>
      <c r="W93" s="2" t="s">
        <v>51</v>
      </c>
      <c r="X93" s="2" t="s">
        <v>96</v>
      </c>
      <c r="Y93" s="2" t="s">
        <v>53</v>
      </c>
      <c r="Z93" s="3">
        <v>6.0</v>
      </c>
      <c r="AA93" s="2" t="s">
        <v>54</v>
      </c>
      <c r="AB93" s="3">
        <v>31.0</v>
      </c>
      <c r="AC93" s="3">
        <v>31.0</v>
      </c>
      <c r="AD93" s="7">
        <v>0.6129</v>
      </c>
      <c r="AE93" s="3">
        <v>95.0</v>
      </c>
      <c r="AF93" s="3">
        <v>5.0</v>
      </c>
      <c r="AG93" s="3">
        <v>0.0</v>
      </c>
      <c r="AH93" s="3">
        <v>3.0</v>
      </c>
      <c r="AI93" s="3">
        <v>2.0</v>
      </c>
      <c r="AJ93" s="3">
        <v>0.0</v>
      </c>
      <c r="AK93" s="3">
        <v>5.0</v>
      </c>
    </row>
    <row r="94">
      <c r="A94" s="2" t="s">
        <v>37</v>
      </c>
      <c r="B94" s="3">
        <v>36801.0</v>
      </c>
      <c r="C94" s="3" t="s">
        <v>71</v>
      </c>
      <c r="D94" s="3" t="s">
        <v>38</v>
      </c>
      <c r="E94" s="2" t="s">
        <v>72</v>
      </c>
      <c r="F94" s="3">
        <v>77117.0</v>
      </c>
      <c r="G94" s="2" t="s">
        <v>479</v>
      </c>
      <c r="H94" s="5">
        <v>45566.79902777778</v>
      </c>
      <c r="I94" s="2" t="s">
        <v>57</v>
      </c>
      <c r="J94" s="2" t="s">
        <v>480</v>
      </c>
      <c r="K94" s="2" t="s">
        <v>65</v>
      </c>
      <c r="L94" s="2" t="s">
        <v>44</v>
      </c>
      <c r="M94" s="2" t="s">
        <v>99</v>
      </c>
      <c r="N94" s="2" t="s">
        <v>227</v>
      </c>
      <c r="O94" s="2" t="s">
        <v>481</v>
      </c>
      <c r="P94" s="4">
        <v>46084.0</v>
      </c>
      <c r="Q94" s="4">
        <v>46176.0</v>
      </c>
      <c r="R94" s="3">
        <v>1766.0</v>
      </c>
      <c r="S94" s="2" t="s">
        <v>482</v>
      </c>
      <c r="T94" s="2" t="s">
        <v>81</v>
      </c>
      <c r="U94" s="2" t="s">
        <v>416</v>
      </c>
      <c r="V94" s="2" t="s">
        <v>83</v>
      </c>
      <c r="W94" s="2" t="s">
        <v>68</v>
      </c>
      <c r="X94" s="2" t="s">
        <v>69</v>
      </c>
      <c r="Y94" s="2" t="s">
        <v>53</v>
      </c>
      <c r="Z94" s="3">
        <v>7.0</v>
      </c>
      <c r="AA94" s="2" t="s">
        <v>141</v>
      </c>
      <c r="AB94" s="3">
        <v>37.0</v>
      </c>
      <c r="AC94" s="3">
        <v>37.0</v>
      </c>
      <c r="AD94" s="7">
        <v>0.7568</v>
      </c>
      <c r="AE94" s="3">
        <v>56.0</v>
      </c>
      <c r="AF94" s="3">
        <v>2.0</v>
      </c>
      <c r="AG94" s="3">
        <v>0.0</v>
      </c>
      <c r="AH94" s="3">
        <v>0.0</v>
      </c>
      <c r="AI94" s="3">
        <v>2.0</v>
      </c>
      <c r="AJ94" s="3">
        <v>0.0</v>
      </c>
      <c r="AK94" s="3">
        <v>2.0</v>
      </c>
    </row>
    <row r="95">
      <c r="A95" s="2" t="s">
        <v>37</v>
      </c>
      <c r="B95" s="3">
        <v>38832.0</v>
      </c>
      <c r="C95" s="3" t="s">
        <v>106</v>
      </c>
      <c r="D95" s="3" t="s">
        <v>38</v>
      </c>
      <c r="E95" s="2" t="s">
        <v>39</v>
      </c>
      <c r="F95" s="3">
        <v>72917.0</v>
      </c>
      <c r="G95" s="2" t="s">
        <v>483</v>
      </c>
      <c r="H95" s="5">
        <v>45445.64042824074</v>
      </c>
      <c r="I95" s="2" t="s">
        <v>57</v>
      </c>
      <c r="J95" s="2" t="s">
        <v>42</v>
      </c>
      <c r="K95" s="2" t="s">
        <v>43</v>
      </c>
      <c r="L95" s="2" t="s">
        <v>44</v>
      </c>
      <c r="M95" s="2" t="s">
        <v>111</v>
      </c>
      <c r="N95" s="2" t="s">
        <v>484</v>
      </c>
      <c r="O95" s="2" t="s">
        <v>485</v>
      </c>
      <c r="P95" s="4">
        <v>46084.0</v>
      </c>
      <c r="Q95" s="4">
        <v>46359.0</v>
      </c>
      <c r="R95" s="3">
        <v>1335.0</v>
      </c>
      <c r="S95" s="2" t="s">
        <v>486</v>
      </c>
      <c r="T95" s="2" t="s">
        <v>110</v>
      </c>
      <c r="U95" s="2" t="s">
        <v>115</v>
      </c>
      <c r="V95" s="2" t="s">
        <v>116</v>
      </c>
      <c r="W95" s="2" t="s">
        <v>51</v>
      </c>
      <c r="X95" s="2" t="s">
        <v>117</v>
      </c>
      <c r="Y95" s="2" t="s">
        <v>53</v>
      </c>
      <c r="Z95" s="3">
        <v>7.0</v>
      </c>
      <c r="AA95" s="2" t="s">
        <v>54</v>
      </c>
      <c r="AB95" s="3">
        <v>12.0</v>
      </c>
      <c r="AC95" s="3">
        <v>12.0</v>
      </c>
      <c r="AD95" s="7">
        <v>1.0</v>
      </c>
      <c r="AE95" s="3">
        <v>48.0</v>
      </c>
      <c r="AF95" s="3">
        <v>4.0</v>
      </c>
      <c r="AG95" s="3">
        <v>0.0</v>
      </c>
      <c r="AH95" s="3">
        <v>4.0</v>
      </c>
      <c r="AI95" s="3">
        <v>0.0</v>
      </c>
      <c r="AJ95" s="3">
        <v>0.0</v>
      </c>
      <c r="AK95" s="3">
        <v>4.0</v>
      </c>
    </row>
    <row r="96">
      <c r="A96" s="2" t="s">
        <v>37</v>
      </c>
      <c r="B96" s="3">
        <v>38849.0</v>
      </c>
      <c r="C96" s="3" t="s">
        <v>106</v>
      </c>
      <c r="D96" s="3" t="s">
        <v>38</v>
      </c>
      <c r="E96" s="2" t="s">
        <v>39</v>
      </c>
      <c r="F96" s="3">
        <v>84937.0</v>
      </c>
      <c r="G96" s="2" t="s">
        <v>487</v>
      </c>
      <c r="H96" s="5">
        <v>45888.53275462963</v>
      </c>
      <c r="I96" s="2" t="s">
        <v>488</v>
      </c>
      <c r="J96" s="2" t="s">
        <v>42</v>
      </c>
      <c r="K96" s="2" t="s">
        <v>43</v>
      </c>
      <c r="L96" s="2" t="s">
        <v>44</v>
      </c>
      <c r="M96" s="2" t="s">
        <v>111</v>
      </c>
      <c r="N96" s="2" t="s">
        <v>348</v>
      </c>
      <c r="O96" s="2" t="s">
        <v>489</v>
      </c>
      <c r="P96" s="4">
        <v>46084.0</v>
      </c>
      <c r="Q96" s="3" t="s">
        <v>194</v>
      </c>
      <c r="R96" s="3">
        <v>1701.0</v>
      </c>
      <c r="S96" s="2" t="s">
        <v>490</v>
      </c>
      <c r="T96" s="2" t="s">
        <v>110</v>
      </c>
      <c r="U96" s="2" t="s">
        <v>187</v>
      </c>
      <c r="V96" s="2" t="s">
        <v>116</v>
      </c>
      <c r="W96" s="2" t="s">
        <v>51</v>
      </c>
      <c r="X96" s="2" t="s">
        <v>117</v>
      </c>
      <c r="Y96" s="2" t="s">
        <v>53</v>
      </c>
      <c r="Z96" s="3">
        <v>8.0</v>
      </c>
      <c r="AA96" s="2" t="s">
        <v>54</v>
      </c>
      <c r="AB96" s="3">
        <v>24.0</v>
      </c>
      <c r="AC96" s="3">
        <v>22.0</v>
      </c>
      <c r="AD96" s="7">
        <v>0.7727</v>
      </c>
      <c r="AE96" s="3">
        <v>68.0</v>
      </c>
      <c r="AF96" s="3">
        <v>4.0</v>
      </c>
      <c r="AG96" s="3">
        <v>0.0</v>
      </c>
      <c r="AH96" s="3">
        <v>4.0</v>
      </c>
      <c r="AI96" s="3">
        <v>0.0</v>
      </c>
      <c r="AJ96" s="3">
        <v>0.0</v>
      </c>
      <c r="AK96" s="3">
        <v>4.0</v>
      </c>
    </row>
    <row r="97">
      <c r="A97" s="2" t="s">
        <v>37</v>
      </c>
      <c r="B97" s="3">
        <v>36985.0</v>
      </c>
      <c r="C97" s="4">
        <v>45662.0</v>
      </c>
      <c r="D97" s="3" t="s">
        <v>38</v>
      </c>
      <c r="E97" s="2" t="s">
        <v>72</v>
      </c>
      <c r="F97" s="3">
        <v>81229.0</v>
      </c>
      <c r="G97" s="2" t="s">
        <v>491</v>
      </c>
      <c r="H97" s="5">
        <v>45782.64129629629</v>
      </c>
      <c r="I97" s="2" t="s">
        <v>492</v>
      </c>
      <c r="J97" s="2" t="s">
        <v>42</v>
      </c>
      <c r="K97" s="2" t="s">
        <v>43</v>
      </c>
      <c r="L97" s="2" t="s">
        <v>44</v>
      </c>
      <c r="M97" s="2" t="s">
        <v>111</v>
      </c>
      <c r="N97" s="2" t="s">
        <v>493</v>
      </c>
      <c r="O97" s="2" t="s">
        <v>494</v>
      </c>
      <c r="P97" s="4">
        <v>46056.0</v>
      </c>
      <c r="Q97" s="4">
        <v>46176.0</v>
      </c>
      <c r="R97" s="3">
        <v>1770.0</v>
      </c>
      <c r="S97" s="2" t="s">
        <v>397</v>
      </c>
      <c r="T97" s="2" t="s">
        <v>81</v>
      </c>
      <c r="U97" s="2" t="s">
        <v>398</v>
      </c>
      <c r="V97" s="2" t="s">
        <v>83</v>
      </c>
      <c r="W97" s="2" t="s">
        <v>68</v>
      </c>
      <c r="X97" s="2" t="s">
        <v>69</v>
      </c>
      <c r="Y97" s="2" t="s">
        <v>53</v>
      </c>
      <c r="Z97" s="3">
        <v>6.0</v>
      </c>
      <c r="AA97" s="2" t="s">
        <v>180</v>
      </c>
      <c r="AB97" s="3">
        <v>18.0</v>
      </c>
      <c r="AC97" s="3">
        <v>18.0</v>
      </c>
      <c r="AD97" s="7">
        <v>0.9167</v>
      </c>
      <c r="AE97" s="3">
        <v>33.0</v>
      </c>
      <c r="AF97" s="3">
        <v>2.0</v>
      </c>
      <c r="AG97" s="3">
        <v>0.0</v>
      </c>
      <c r="AH97" s="3">
        <v>2.0</v>
      </c>
      <c r="AI97" s="3">
        <v>0.0</v>
      </c>
      <c r="AJ97" s="3">
        <v>0.0</v>
      </c>
      <c r="AK97" s="3">
        <v>2.0</v>
      </c>
    </row>
    <row r="98">
      <c r="A98" s="2" t="s">
        <v>37</v>
      </c>
      <c r="B98" s="3">
        <v>36806.0</v>
      </c>
      <c r="C98" s="3" t="s">
        <v>71</v>
      </c>
      <c r="D98" s="3" t="s">
        <v>38</v>
      </c>
      <c r="E98" s="2" t="s">
        <v>72</v>
      </c>
      <c r="F98" s="3">
        <v>80635.0</v>
      </c>
      <c r="G98" s="2" t="s">
        <v>495</v>
      </c>
      <c r="H98" s="5">
        <v>45740.615752314814</v>
      </c>
      <c r="I98" s="2" t="s">
        <v>57</v>
      </c>
      <c r="J98" s="2" t="s">
        <v>275</v>
      </c>
      <c r="K98" s="2" t="s">
        <v>59</v>
      </c>
      <c r="L98" s="2" t="s">
        <v>44</v>
      </c>
      <c r="M98" s="2" t="s">
        <v>111</v>
      </c>
      <c r="N98" s="2" t="s">
        <v>496</v>
      </c>
      <c r="O98" s="2" t="s">
        <v>497</v>
      </c>
      <c r="P98" s="4">
        <v>46084.0</v>
      </c>
      <c r="Q98" s="4">
        <v>46145.0</v>
      </c>
      <c r="R98" s="3">
        <v>1770.0</v>
      </c>
      <c r="S98" s="2" t="s">
        <v>397</v>
      </c>
      <c r="T98" s="2" t="s">
        <v>81</v>
      </c>
      <c r="U98" s="2" t="s">
        <v>398</v>
      </c>
      <c r="V98" s="2" t="s">
        <v>83</v>
      </c>
      <c r="W98" s="2" t="s">
        <v>68</v>
      </c>
      <c r="X98" s="2" t="s">
        <v>69</v>
      </c>
      <c r="Y98" s="2" t="s">
        <v>53</v>
      </c>
      <c r="Z98" s="3">
        <v>8.0</v>
      </c>
      <c r="AA98" s="2" t="s">
        <v>141</v>
      </c>
      <c r="AB98" s="3">
        <v>19.0</v>
      </c>
      <c r="AC98" s="3">
        <v>19.0</v>
      </c>
      <c r="AD98" s="7">
        <v>0.8684</v>
      </c>
      <c r="AE98" s="3">
        <v>33.0</v>
      </c>
      <c r="AF98" s="3">
        <v>2.0</v>
      </c>
      <c r="AG98" s="3">
        <v>0.0</v>
      </c>
      <c r="AH98" s="3">
        <v>1.0</v>
      </c>
      <c r="AI98" s="3">
        <v>1.0</v>
      </c>
      <c r="AJ98" s="3">
        <v>0.0</v>
      </c>
      <c r="AK98" s="3">
        <v>2.0</v>
      </c>
    </row>
    <row r="99">
      <c r="A99" s="2" t="s">
        <v>37</v>
      </c>
      <c r="B99" s="3">
        <v>39670.0</v>
      </c>
      <c r="C99" s="4">
        <v>45668.0</v>
      </c>
      <c r="D99" s="3" t="s">
        <v>38</v>
      </c>
      <c r="E99" s="2" t="s">
        <v>72</v>
      </c>
      <c r="F99" s="3">
        <v>85380.0</v>
      </c>
      <c r="G99" s="2" t="s">
        <v>498</v>
      </c>
      <c r="H99" s="5">
        <v>45898.51936342593</v>
      </c>
      <c r="I99" s="2" t="s">
        <v>499</v>
      </c>
      <c r="J99" s="2" t="s">
        <v>500</v>
      </c>
      <c r="K99" s="2" t="s">
        <v>43</v>
      </c>
      <c r="L99" s="2" t="s">
        <v>44</v>
      </c>
      <c r="M99" s="2" t="s">
        <v>99</v>
      </c>
      <c r="N99" s="2" t="s">
        <v>501</v>
      </c>
      <c r="O99" s="2" t="s">
        <v>502</v>
      </c>
      <c r="P99" s="4">
        <v>46176.0</v>
      </c>
      <c r="Q99" s="4">
        <v>46176.0</v>
      </c>
      <c r="R99" s="3">
        <v>2015.0</v>
      </c>
      <c r="S99" s="2" t="s">
        <v>249</v>
      </c>
      <c r="T99" s="2" t="s">
        <v>43</v>
      </c>
      <c r="U99" s="2" t="s">
        <v>250</v>
      </c>
      <c r="V99" s="2" t="s">
        <v>251</v>
      </c>
      <c r="W99" s="2" t="s">
        <v>51</v>
      </c>
      <c r="X99" s="2" t="s">
        <v>172</v>
      </c>
      <c r="Y99" s="2" t="s">
        <v>53</v>
      </c>
      <c r="Z99" s="3">
        <v>6.0</v>
      </c>
      <c r="AA99" s="2" t="s">
        <v>180</v>
      </c>
      <c r="AB99" s="3">
        <v>12.0</v>
      </c>
      <c r="AC99" s="3">
        <v>12.0</v>
      </c>
      <c r="AD99" s="7">
        <v>1.0</v>
      </c>
      <c r="AE99" s="3">
        <v>12.0</v>
      </c>
      <c r="AF99" s="3">
        <v>1.0</v>
      </c>
      <c r="AG99" s="3">
        <v>0.0</v>
      </c>
      <c r="AH99" s="3">
        <v>1.0</v>
      </c>
      <c r="AI99" s="3">
        <v>0.0</v>
      </c>
      <c r="AJ99" s="3">
        <v>0.0</v>
      </c>
      <c r="AK99" s="3">
        <v>1.0</v>
      </c>
    </row>
    <row r="100">
      <c r="A100" s="2" t="s">
        <v>37</v>
      </c>
      <c r="B100" s="3">
        <v>39671.0</v>
      </c>
      <c r="C100" s="4">
        <v>45668.0</v>
      </c>
      <c r="D100" s="3" t="s">
        <v>38</v>
      </c>
      <c r="E100" s="2" t="s">
        <v>72</v>
      </c>
      <c r="F100" s="3">
        <v>85380.0</v>
      </c>
      <c r="G100" s="2" t="s">
        <v>498</v>
      </c>
      <c r="H100" s="5">
        <v>45898.51936342593</v>
      </c>
      <c r="I100" s="2" t="s">
        <v>499</v>
      </c>
      <c r="J100" s="2" t="s">
        <v>500</v>
      </c>
      <c r="K100" s="2" t="s">
        <v>43</v>
      </c>
      <c r="L100" s="2" t="s">
        <v>44</v>
      </c>
      <c r="M100" s="2" t="s">
        <v>99</v>
      </c>
      <c r="N100" s="2" t="s">
        <v>501</v>
      </c>
      <c r="O100" s="2" t="s">
        <v>502</v>
      </c>
      <c r="P100" s="4">
        <v>46176.0</v>
      </c>
      <c r="Q100" s="4">
        <v>46176.0</v>
      </c>
      <c r="R100" s="3">
        <v>2015.0</v>
      </c>
      <c r="S100" s="2" t="s">
        <v>249</v>
      </c>
      <c r="T100" s="2" t="s">
        <v>43</v>
      </c>
      <c r="U100" s="2" t="s">
        <v>250</v>
      </c>
      <c r="V100" s="2" t="s">
        <v>251</v>
      </c>
      <c r="W100" s="2" t="s">
        <v>51</v>
      </c>
      <c r="X100" s="2" t="s">
        <v>172</v>
      </c>
      <c r="Y100" s="2" t="s">
        <v>53</v>
      </c>
      <c r="Z100" s="3">
        <v>7.0</v>
      </c>
      <c r="AA100" s="2" t="s">
        <v>180</v>
      </c>
      <c r="AB100" s="3">
        <v>10.0</v>
      </c>
      <c r="AC100" s="3">
        <v>10.0</v>
      </c>
      <c r="AD100" s="7">
        <v>1.0</v>
      </c>
      <c r="AE100" s="3">
        <v>10.0</v>
      </c>
      <c r="AF100" s="3">
        <v>1.0</v>
      </c>
      <c r="AG100" s="3">
        <v>0.0</v>
      </c>
      <c r="AH100" s="3">
        <v>1.0</v>
      </c>
      <c r="AI100" s="3">
        <v>0.0</v>
      </c>
      <c r="AJ100" s="3">
        <v>0.0</v>
      </c>
      <c r="AK100" s="3">
        <v>1.0</v>
      </c>
    </row>
    <row r="101">
      <c r="A101" s="2" t="s">
        <v>37</v>
      </c>
      <c r="B101" s="3">
        <v>39672.0</v>
      </c>
      <c r="C101" s="4">
        <v>45668.0</v>
      </c>
      <c r="D101" s="3" t="s">
        <v>38</v>
      </c>
      <c r="E101" s="2" t="s">
        <v>72</v>
      </c>
      <c r="F101" s="3">
        <v>85380.0</v>
      </c>
      <c r="G101" s="2" t="s">
        <v>498</v>
      </c>
      <c r="H101" s="5">
        <v>45898.51936342593</v>
      </c>
      <c r="I101" s="2" t="s">
        <v>499</v>
      </c>
      <c r="J101" s="2" t="s">
        <v>500</v>
      </c>
      <c r="K101" s="2" t="s">
        <v>43</v>
      </c>
      <c r="L101" s="2" t="s">
        <v>44</v>
      </c>
      <c r="M101" s="2" t="s">
        <v>99</v>
      </c>
      <c r="N101" s="2" t="s">
        <v>501</v>
      </c>
      <c r="O101" s="2" t="s">
        <v>502</v>
      </c>
      <c r="P101" s="4">
        <v>46115.0</v>
      </c>
      <c r="Q101" s="4">
        <v>46115.0</v>
      </c>
      <c r="R101" s="3">
        <v>2015.0</v>
      </c>
      <c r="S101" s="2" t="s">
        <v>249</v>
      </c>
      <c r="T101" s="2" t="s">
        <v>43</v>
      </c>
      <c r="U101" s="2" t="s">
        <v>250</v>
      </c>
      <c r="V101" s="2" t="s">
        <v>251</v>
      </c>
      <c r="W101" s="2" t="s">
        <v>51</v>
      </c>
      <c r="X101" s="2" t="s">
        <v>172</v>
      </c>
      <c r="Y101" s="2" t="s">
        <v>53</v>
      </c>
      <c r="Z101" s="3">
        <v>8.0</v>
      </c>
      <c r="AA101" s="2" t="s">
        <v>180</v>
      </c>
      <c r="AB101" s="3">
        <v>11.0</v>
      </c>
      <c r="AC101" s="3">
        <v>11.0</v>
      </c>
      <c r="AD101" s="7">
        <v>1.0</v>
      </c>
      <c r="AE101" s="3">
        <v>11.0</v>
      </c>
      <c r="AF101" s="3">
        <v>1.0</v>
      </c>
      <c r="AG101" s="3">
        <v>0.0</v>
      </c>
      <c r="AH101" s="3">
        <v>1.0</v>
      </c>
      <c r="AI101" s="3">
        <v>0.0</v>
      </c>
      <c r="AJ101" s="3">
        <v>0.0</v>
      </c>
      <c r="AK101" s="3">
        <v>1.0</v>
      </c>
    </row>
    <row r="102">
      <c r="A102" s="2" t="s">
        <v>37</v>
      </c>
      <c r="B102" s="3">
        <v>39773.0</v>
      </c>
      <c r="C102" s="4">
        <v>45668.0</v>
      </c>
      <c r="D102" s="3" t="s">
        <v>38</v>
      </c>
      <c r="E102" s="2" t="s">
        <v>72</v>
      </c>
      <c r="F102" s="3">
        <v>85380.0</v>
      </c>
      <c r="G102" s="2" t="s">
        <v>498</v>
      </c>
      <c r="H102" s="5">
        <v>45898.51936342593</v>
      </c>
      <c r="I102" s="2" t="s">
        <v>499</v>
      </c>
      <c r="J102" s="2" t="s">
        <v>500</v>
      </c>
      <c r="K102" s="2" t="s">
        <v>43</v>
      </c>
      <c r="L102" s="2" t="s">
        <v>44</v>
      </c>
      <c r="M102" s="2" t="s">
        <v>99</v>
      </c>
      <c r="N102" s="2" t="s">
        <v>501</v>
      </c>
      <c r="O102" s="2" t="s">
        <v>502</v>
      </c>
      <c r="P102" s="4">
        <v>46206.0</v>
      </c>
      <c r="Q102" s="4">
        <v>46206.0</v>
      </c>
      <c r="R102" s="3">
        <v>2015.0</v>
      </c>
      <c r="S102" s="2" t="s">
        <v>249</v>
      </c>
      <c r="T102" s="2" t="s">
        <v>43</v>
      </c>
      <c r="U102" s="2" t="s">
        <v>250</v>
      </c>
      <c r="V102" s="2" t="s">
        <v>251</v>
      </c>
      <c r="W102" s="2" t="s">
        <v>51</v>
      </c>
      <c r="X102" s="2" t="s">
        <v>172</v>
      </c>
      <c r="Y102" s="2" t="s">
        <v>53</v>
      </c>
      <c r="Z102" s="3">
        <v>5.0</v>
      </c>
      <c r="AA102" s="2" t="s">
        <v>180</v>
      </c>
      <c r="AB102" s="3">
        <v>10.0</v>
      </c>
      <c r="AC102" s="3">
        <v>10.0</v>
      </c>
      <c r="AD102" s="7">
        <v>0.9</v>
      </c>
      <c r="AE102" s="3">
        <v>9.0</v>
      </c>
      <c r="AF102" s="3">
        <v>1.0</v>
      </c>
      <c r="AG102" s="3">
        <v>0.0</v>
      </c>
      <c r="AH102" s="3">
        <v>1.0</v>
      </c>
      <c r="AI102" s="3">
        <v>0.0</v>
      </c>
      <c r="AJ102" s="3">
        <v>0.0</v>
      </c>
      <c r="AK102" s="3">
        <v>1.0</v>
      </c>
    </row>
    <row r="103">
      <c r="A103" s="2" t="s">
        <v>37</v>
      </c>
      <c r="B103" s="3">
        <v>37061.0</v>
      </c>
      <c r="C103" s="3" t="s">
        <v>196</v>
      </c>
      <c r="D103" s="3" t="s">
        <v>38</v>
      </c>
      <c r="E103" s="2" t="s">
        <v>39</v>
      </c>
      <c r="F103" s="3">
        <v>85952.0</v>
      </c>
      <c r="G103" s="2" t="s">
        <v>503</v>
      </c>
      <c r="H103" s="5">
        <v>45918.527037037034</v>
      </c>
      <c r="I103" s="2" t="s">
        <v>442</v>
      </c>
      <c r="J103" s="2" t="s">
        <v>504</v>
      </c>
      <c r="K103" s="2" t="s">
        <v>128</v>
      </c>
      <c r="L103" s="2" t="s">
        <v>44</v>
      </c>
      <c r="M103" s="2" t="s">
        <v>111</v>
      </c>
      <c r="N103" s="2" t="s">
        <v>505</v>
      </c>
      <c r="O103" s="2" t="s">
        <v>506</v>
      </c>
      <c r="P103" s="4">
        <v>46056.0</v>
      </c>
      <c r="Q103" s="4">
        <v>46298.0</v>
      </c>
      <c r="R103" s="3">
        <v>1691.0</v>
      </c>
      <c r="S103" s="2" t="s">
        <v>339</v>
      </c>
      <c r="T103" s="2" t="s">
        <v>48</v>
      </c>
      <c r="U103" s="2" t="s">
        <v>49</v>
      </c>
      <c r="V103" s="2" t="s">
        <v>50</v>
      </c>
      <c r="W103" s="2" t="s">
        <v>51</v>
      </c>
      <c r="X103" s="2" t="s">
        <v>52</v>
      </c>
      <c r="Y103" s="2" t="s">
        <v>53</v>
      </c>
      <c r="Z103" s="3">
        <v>7.0</v>
      </c>
      <c r="AA103" s="2" t="s">
        <v>318</v>
      </c>
      <c r="AB103" s="3">
        <v>31.0</v>
      </c>
      <c r="AC103" s="3">
        <v>28.0</v>
      </c>
      <c r="AD103" s="7">
        <v>0.8452</v>
      </c>
      <c r="AE103" s="3">
        <v>71.0</v>
      </c>
      <c r="AF103" s="3">
        <v>3.0</v>
      </c>
      <c r="AG103" s="3">
        <v>0.0</v>
      </c>
      <c r="AH103" s="3">
        <v>3.0</v>
      </c>
      <c r="AI103" s="3">
        <v>0.0</v>
      </c>
      <c r="AJ103" s="3">
        <v>0.0</v>
      </c>
      <c r="AK103" s="3">
        <v>3.0</v>
      </c>
    </row>
    <row r="104">
      <c r="A104" s="2" t="s">
        <v>37</v>
      </c>
      <c r="B104" s="3">
        <v>38982.0</v>
      </c>
      <c r="C104" s="3" t="s">
        <v>211</v>
      </c>
      <c r="D104" s="5">
        <v>46112.99998842592</v>
      </c>
      <c r="E104" s="2" t="s">
        <v>39</v>
      </c>
      <c r="F104" s="3">
        <v>85897.0</v>
      </c>
      <c r="G104" s="2" t="s">
        <v>507</v>
      </c>
      <c r="H104" s="5">
        <v>45917.6528125</v>
      </c>
      <c r="I104" s="2" t="s">
        <v>442</v>
      </c>
      <c r="J104" s="2" t="s">
        <v>351</v>
      </c>
      <c r="K104" s="2" t="s">
        <v>88</v>
      </c>
      <c r="L104" s="2" t="s">
        <v>44</v>
      </c>
      <c r="M104" s="2" t="s">
        <v>111</v>
      </c>
      <c r="N104" s="2" t="s">
        <v>508</v>
      </c>
      <c r="O104" s="2" t="s">
        <v>509</v>
      </c>
      <c r="P104" s="4">
        <v>46268.0</v>
      </c>
      <c r="Q104" s="3" t="s">
        <v>208</v>
      </c>
      <c r="R104" s="3">
        <v>1999.0</v>
      </c>
      <c r="S104" s="2" t="s">
        <v>510</v>
      </c>
      <c r="T104" s="2" t="s">
        <v>88</v>
      </c>
      <c r="U104" s="2" t="s">
        <v>149</v>
      </c>
      <c r="V104" s="2" t="s">
        <v>150</v>
      </c>
      <c r="W104" s="2" t="s">
        <v>51</v>
      </c>
      <c r="X104" s="2" t="s">
        <v>96</v>
      </c>
      <c r="Y104" s="2" t="s">
        <v>210</v>
      </c>
      <c r="Z104" s="3">
        <v>6.0</v>
      </c>
      <c r="AA104" s="2" t="s">
        <v>164</v>
      </c>
      <c r="AB104" s="3">
        <v>24.0</v>
      </c>
      <c r="AC104" s="3">
        <v>24.0</v>
      </c>
      <c r="AD104" s="7">
        <v>0.7396</v>
      </c>
      <c r="AE104" s="3">
        <v>71.0</v>
      </c>
      <c r="AF104" s="3">
        <v>4.0</v>
      </c>
      <c r="AG104" s="3">
        <v>0.0</v>
      </c>
      <c r="AH104" s="3">
        <v>2.0</v>
      </c>
      <c r="AI104" s="3">
        <v>2.0</v>
      </c>
      <c r="AJ104" s="3">
        <v>0.0</v>
      </c>
      <c r="AK104" s="3">
        <v>4.0</v>
      </c>
    </row>
    <row r="105">
      <c r="A105" s="2" t="s">
        <v>37</v>
      </c>
      <c r="B105" s="3">
        <v>36805.0</v>
      </c>
      <c r="C105" s="3" t="s">
        <v>71</v>
      </c>
      <c r="D105" s="3" t="s">
        <v>38</v>
      </c>
      <c r="E105" s="2" t="s">
        <v>72</v>
      </c>
      <c r="F105" s="3">
        <v>80016.0</v>
      </c>
      <c r="G105" s="2" t="s">
        <v>511</v>
      </c>
      <c r="H105" s="5">
        <v>45694.44258101852</v>
      </c>
      <c r="I105" s="2" t="s">
        <v>57</v>
      </c>
      <c r="J105" s="2" t="s">
        <v>512</v>
      </c>
      <c r="K105" s="2" t="s">
        <v>513</v>
      </c>
      <c r="L105" s="2" t="s">
        <v>44</v>
      </c>
      <c r="M105" s="2" t="s">
        <v>183</v>
      </c>
      <c r="N105" s="2" t="s">
        <v>514</v>
      </c>
      <c r="O105" s="2" t="s">
        <v>515</v>
      </c>
      <c r="P105" s="4">
        <v>46056.0</v>
      </c>
      <c r="Q105" s="4">
        <v>46056.0</v>
      </c>
      <c r="R105" s="3">
        <v>1770.0</v>
      </c>
      <c r="S105" s="2" t="s">
        <v>397</v>
      </c>
      <c r="T105" s="2" t="s">
        <v>81</v>
      </c>
      <c r="U105" s="2" t="s">
        <v>398</v>
      </c>
      <c r="V105" s="2" t="s">
        <v>83</v>
      </c>
      <c r="W105" s="2" t="s">
        <v>68</v>
      </c>
      <c r="X105" s="2" t="s">
        <v>69</v>
      </c>
      <c r="Y105" s="2" t="s">
        <v>53</v>
      </c>
      <c r="Z105" s="3">
        <v>7.0</v>
      </c>
      <c r="AA105" s="2" t="s">
        <v>141</v>
      </c>
      <c r="AB105" s="3">
        <v>28.0</v>
      </c>
      <c r="AC105" s="3">
        <v>28.0</v>
      </c>
      <c r="AD105" s="7">
        <v>0.8929</v>
      </c>
      <c r="AE105" s="3">
        <v>25.0</v>
      </c>
      <c r="AF105" s="3">
        <v>1.0</v>
      </c>
      <c r="AG105" s="3">
        <v>0.0</v>
      </c>
      <c r="AH105" s="3">
        <v>1.0</v>
      </c>
      <c r="AI105" s="3">
        <v>0.0</v>
      </c>
      <c r="AJ105" s="3">
        <v>0.0</v>
      </c>
      <c r="AK105" s="3">
        <v>1.0</v>
      </c>
    </row>
    <row r="106">
      <c r="A106" s="2" t="s">
        <v>37</v>
      </c>
      <c r="B106" s="3">
        <v>36790.0</v>
      </c>
      <c r="C106" s="3" t="s">
        <v>71</v>
      </c>
      <c r="D106" s="3" t="s">
        <v>38</v>
      </c>
      <c r="E106" s="2" t="s">
        <v>72</v>
      </c>
      <c r="F106" s="3">
        <v>83175.0</v>
      </c>
      <c r="G106" s="2" t="s">
        <v>516</v>
      </c>
      <c r="H106" s="5">
        <v>45849.48616898148</v>
      </c>
      <c r="I106" s="2" t="s">
        <v>517</v>
      </c>
      <c r="J106" s="2" t="s">
        <v>275</v>
      </c>
      <c r="K106" s="2" t="s">
        <v>59</v>
      </c>
      <c r="L106" s="2" t="s">
        <v>44</v>
      </c>
      <c r="M106" s="2" t="s">
        <v>111</v>
      </c>
      <c r="N106" s="2" t="s">
        <v>518</v>
      </c>
      <c r="O106" s="2" t="s">
        <v>519</v>
      </c>
      <c r="P106" s="4">
        <v>46084.0</v>
      </c>
      <c r="Q106" s="4">
        <v>46145.0</v>
      </c>
      <c r="R106" s="3">
        <v>1760.0</v>
      </c>
      <c r="S106" s="2" t="s">
        <v>223</v>
      </c>
      <c r="T106" s="2" t="s">
        <v>81</v>
      </c>
      <c r="U106" s="2" t="s">
        <v>82</v>
      </c>
      <c r="V106" s="2" t="s">
        <v>83</v>
      </c>
      <c r="W106" s="2" t="s">
        <v>68</v>
      </c>
      <c r="X106" s="2" t="s">
        <v>69</v>
      </c>
      <c r="Y106" s="2" t="s">
        <v>53</v>
      </c>
      <c r="Z106" s="3">
        <v>8.0</v>
      </c>
      <c r="AA106" s="2" t="s">
        <v>141</v>
      </c>
      <c r="AB106" s="3">
        <v>36.0</v>
      </c>
      <c r="AC106" s="3">
        <v>36.0</v>
      </c>
      <c r="AD106" s="7">
        <v>0.9028</v>
      </c>
      <c r="AE106" s="3">
        <v>65.0</v>
      </c>
      <c r="AF106" s="3">
        <v>2.0</v>
      </c>
      <c r="AG106" s="3">
        <v>0.0</v>
      </c>
      <c r="AH106" s="3">
        <v>2.0</v>
      </c>
      <c r="AI106" s="3">
        <v>0.0</v>
      </c>
      <c r="AJ106" s="3">
        <v>0.0</v>
      </c>
      <c r="AK106" s="3">
        <v>2.0</v>
      </c>
    </row>
    <row r="107">
      <c r="A107" s="2" t="s">
        <v>37</v>
      </c>
      <c r="B107" s="3">
        <v>39675.0</v>
      </c>
      <c r="C107" s="3" t="s">
        <v>520</v>
      </c>
      <c r="D107" s="3" t="s">
        <v>38</v>
      </c>
      <c r="E107" s="2" t="s">
        <v>39</v>
      </c>
      <c r="F107" s="3">
        <v>23990.0</v>
      </c>
      <c r="G107" s="2" t="s">
        <v>521</v>
      </c>
      <c r="H107" s="5">
        <v>43265.22015046296</v>
      </c>
      <c r="I107" s="2" t="s">
        <v>522</v>
      </c>
      <c r="J107" s="2" t="s">
        <v>42</v>
      </c>
      <c r="K107" s="2" t="s">
        <v>43</v>
      </c>
      <c r="L107" s="2" t="s">
        <v>44</v>
      </c>
      <c r="M107" s="2" t="s">
        <v>523</v>
      </c>
      <c r="O107" s="2" t="s">
        <v>524</v>
      </c>
      <c r="P107" s="4">
        <v>46084.0</v>
      </c>
      <c r="Q107" s="3" t="s">
        <v>525</v>
      </c>
      <c r="R107" s="3">
        <v>2027.0</v>
      </c>
      <c r="S107" s="2" t="s">
        <v>526</v>
      </c>
      <c r="T107" s="2" t="s">
        <v>43</v>
      </c>
      <c r="U107" s="2" t="s">
        <v>527</v>
      </c>
      <c r="V107" s="2" t="s">
        <v>528</v>
      </c>
      <c r="W107" s="2" t="s">
        <v>51</v>
      </c>
      <c r="X107" s="2" t="s">
        <v>172</v>
      </c>
      <c r="Y107" s="2" t="s">
        <v>53</v>
      </c>
      <c r="Z107" s="3">
        <v>7.0</v>
      </c>
      <c r="AA107" s="2" t="s">
        <v>54</v>
      </c>
      <c r="AB107" s="3">
        <v>6.0</v>
      </c>
      <c r="AC107" s="3">
        <v>6.0</v>
      </c>
      <c r="AD107" s="7">
        <v>0.9333</v>
      </c>
      <c r="AE107" s="3">
        <v>28.0</v>
      </c>
      <c r="AF107" s="3">
        <v>6.0</v>
      </c>
      <c r="AG107" s="3">
        <v>0.0</v>
      </c>
      <c r="AH107" s="3">
        <v>5.0</v>
      </c>
      <c r="AI107" s="3">
        <v>0.0</v>
      </c>
      <c r="AJ107" s="3">
        <v>1.0</v>
      </c>
      <c r="AK107" s="3">
        <v>5.0</v>
      </c>
    </row>
    <row r="108">
      <c r="A108" s="2" t="s">
        <v>37</v>
      </c>
      <c r="B108" s="3">
        <v>39990.0</v>
      </c>
      <c r="C108" s="3" t="s">
        <v>529</v>
      </c>
      <c r="D108" s="3" t="s">
        <v>38</v>
      </c>
      <c r="E108" s="2" t="s">
        <v>39</v>
      </c>
      <c r="F108" s="3">
        <v>81799.0</v>
      </c>
      <c r="G108" s="2" t="s">
        <v>530</v>
      </c>
      <c r="H108" s="5">
        <v>45818.20767361111</v>
      </c>
      <c r="I108" s="2" t="s">
        <v>57</v>
      </c>
      <c r="J108" s="2" t="s">
        <v>531</v>
      </c>
      <c r="K108" s="2" t="s">
        <v>532</v>
      </c>
      <c r="L108" s="2" t="s">
        <v>533</v>
      </c>
      <c r="M108" s="2" t="s">
        <v>77</v>
      </c>
      <c r="N108" s="2" t="s">
        <v>534</v>
      </c>
      <c r="O108" s="2" t="s">
        <v>535</v>
      </c>
      <c r="P108" s="4">
        <v>46056.0</v>
      </c>
      <c r="Q108" s="3" t="s">
        <v>92</v>
      </c>
      <c r="R108" s="3">
        <v>143.0</v>
      </c>
      <c r="S108" s="2" t="s">
        <v>536</v>
      </c>
      <c r="T108" s="2" t="s">
        <v>110</v>
      </c>
      <c r="U108" s="2" t="s">
        <v>537</v>
      </c>
      <c r="V108" s="2" t="s">
        <v>95</v>
      </c>
      <c r="W108" s="2" t="s">
        <v>51</v>
      </c>
      <c r="X108" s="2" t="s">
        <v>117</v>
      </c>
      <c r="Y108" s="2" t="s">
        <v>188</v>
      </c>
      <c r="Z108" s="3">
        <v>6.0</v>
      </c>
      <c r="AA108" s="2" t="s">
        <v>164</v>
      </c>
      <c r="AB108" s="3">
        <v>9.0</v>
      </c>
      <c r="AC108" s="3">
        <v>9.0</v>
      </c>
      <c r="AD108" s="7">
        <v>0.9722</v>
      </c>
      <c r="AE108" s="3">
        <v>35.0</v>
      </c>
      <c r="AF108" s="3">
        <v>8.0</v>
      </c>
      <c r="AG108" s="3">
        <v>0.0</v>
      </c>
      <c r="AH108" s="3">
        <v>4.0</v>
      </c>
      <c r="AI108" s="3">
        <v>0.0</v>
      </c>
      <c r="AJ108" s="3">
        <v>4.0</v>
      </c>
      <c r="AK108" s="3">
        <v>4.0</v>
      </c>
    </row>
    <row r="109">
      <c r="A109" s="2" t="s">
        <v>37</v>
      </c>
      <c r="B109" s="3">
        <v>39008.0</v>
      </c>
      <c r="C109" s="3" t="s">
        <v>142</v>
      </c>
      <c r="D109" s="5">
        <v>46112.99998842592</v>
      </c>
      <c r="E109" s="2" t="s">
        <v>39</v>
      </c>
      <c r="F109" s="3">
        <v>87929.0</v>
      </c>
      <c r="G109" s="2" t="s">
        <v>538</v>
      </c>
      <c r="H109" s="5">
        <v>46028.46994212963</v>
      </c>
      <c r="I109" s="2" t="s">
        <v>57</v>
      </c>
      <c r="J109" s="2" t="s">
        <v>411</v>
      </c>
      <c r="K109" s="2" t="s">
        <v>411</v>
      </c>
      <c r="L109" s="2" t="s">
        <v>412</v>
      </c>
      <c r="M109" s="2" t="s">
        <v>99</v>
      </c>
      <c r="N109" s="2" t="s">
        <v>413</v>
      </c>
      <c r="O109" s="2" t="s">
        <v>539</v>
      </c>
      <c r="P109" s="4">
        <v>46298.0</v>
      </c>
      <c r="Q109" s="3" t="s">
        <v>92</v>
      </c>
      <c r="R109" s="3">
        <v>2001.0</v>
      </c>
      <c r="S109" s="2" t="s">
        <v>209</v>
      </c>
      <c r="T109" s="2" t="s">
        <v>88</v>
      </c>
      <c r="U109" s="2" t="s">
        <v>149</v>
      </c>
      <c r="V109" s="2" t="s">
        <v>150</v>
      </c>
      <c r="W109" s="2" t="s">
        <v>51</v>
      </c>
      <c r="X109" s="2" t="s">
        <v>96</v>
      </c>
      <c r="Y109" s="2" t="s">
        <v>53</v>
      </c>
      <c r="Z109" s="3">
        <v>7.0</v>
      </c>
      <c r="AA109" s="2" t="s">
        <v>54</v>
      </c>
      <c r="AB109" s="3">
        <v>23.0</v>
      </c>
      <c r="AC109" s="3">
        <v>23.0</v>
      </c>
      <c r="AD109" s="7">
        <v>0.6522</v>
      </c>
      <c r="AE109" s="3">
        <v>75.0</v>
      </c>
      <c r="AF109" s="3">
        <v>5.0</v>
      </c>
      <c r="AG109" s="3">
        <v>0.0</v>
      </c>
      <c r="AH109" s="3">
        <v>0.0</v>
      </c>
      <c r="AI109" s="3">
        <v>5.0</v>
      </c>
      <c r="AJ109" s="3">
        <v>0.0</v>
      </c>
      <c r="AK109" s="3">
        <v>5.0</v>
      </c>
    </row>
    <row r="110">
      <c r="A110" s="2" t="s">
        <v>37</v>
      </c>
      <c r="B110" s="3">
        <v>38840.0</v>
      </c>
      <c r="C110" s="3" t="s">
        <v>106</v>
      </c>
      <c r="D110" s="3" t="s">
        <v>38</v>
      </c>
      <c r="E110" s="2" t="s">
        <v>39</v>
      </c>
      <c r="F110" s="3">
        <v>75536.0</v>
      </c>
      <c r="G110" s="2" t="s">
        <v>540</v>
      </c>
      <c r="H110" s="5">
        <v>45511.94237268518</v>
      </c>
      <c r="I110" s="2" t="s">
        <v>492</v>
      </c>
      <c r="J110" s="2" t="s">
        <v>191</v>
      </c>
      <c r="K110" s="2" t="s">
        <v>110</v>
      </c>
      <c r="L110" s="2" t="s">
        <v>44</v>
      </c>
      <c r="M110" s="2" t="s">
        <v>89</v>
      </c>
      <c r="N110" s="2" t="s">
        <v>157</v>
      </c>
      <c r="O110" s="2" t="s">
        <v>541</v>
      </c>
      <c r="P110" s="4">
        <v>46084.0</v>
      </c>
      <c r="Q110" s="3" t="s">
        <v>194</v>
      </c>
      <c r="R110" s="3">
        <v>1338.0</v>
      </c>
      <c r="S110" s="2" t="s">
        <v>542</v>
      </c>
      <c r="T110" s="2" t="s">
        <v>110</v>
      </c>
      <c r="U110" s="2" t="s">
        <v>115</v>
      </c>
      <c r="V110" s="2" t="s">
        <v>116</v>
      </c>
      <c r="W110" s="2" t="s">
        <v>51</v>
      </c>
      <c r="X110" s="2" t="s">
        <v>117</v>
      </c>
      <c r="Y110" s="2" t="s">
        <v>188</v>
      </c>
      <c r="Z110" s="3">
        <v>6.0</v>
      </c>
      <c r="AA110" s="2" t="s">
        <v>164</v>
      </c>
      <c r="AB110" s="3">
        <v>26.0</v>
      </c>
      <c r="AC110" s="3">
        <v>26.0</v>
      </c>
      <c r="AD110" s="7">
        <v>1.0</v>
      </c>
      <c r="AE110" s="3">
        <v>104.0</v>
      </c>
      <c r="AF110" s="3">
        <v>4.0</v>
      </c>
      <c r="AG110" s="3">
        <v>0.0</v>
      </c>
      <c r="AH110" s="3">
        <v>4.0</v>
      </c>
      <c r="AI110" s="3">
        <v>0.0</v>
      </c>
      <c r="AJ110" s="3">
        <v>0.0</v>
      </c>
      <c r="AK110" s="3">
        <v>4.0</v>
      </c>
    </row>
    <row r="111">
      <c r="A111" s="2" t="s">
        <v>37</v>
      </c>
      <c r="B111" s="3">
        <v>37075.0</v>
      </c>
      <c r="C111" s="4">
        <v>45723.0</v>
      </c>
      <c r="D111" s="3" t="s">
        <v>38</v>
      </c>
      <c r="E111" s="2" t="s">
        <v>39</v>
      </c>
      <c r="F111" s="3">
        <v>81952.0</v>
      </c>
      <c r="G111" s="2" t="s">
        <v>543</v>
      </c>
      <c r="H111" s="5">
        <v>45826.60025462963</v>
      </c>
      <c r="I111" s="2" t="s">
        <v>442</v>
      </c>
      <c r="J111" s="2" t="s">
        <v>127</v>
      </c>
      <c r="K111" s="2" t="s">
        <v>128</v>
      </c>
      <c r="L111" s="2" t="s">
        <v>44</v>
      </c>
      <c r="M111" s="2" t="s">
        <v>111</v>
      </c>
      <c r="N111" s="2" t="s">
        <v>544</v>
      </c>
      <c r="O111" s="2" t="s">
        <v>545</v>
      </c>
      <c r="P111" s="4">
        <v>46176.0</v>
      </c>
      <c r="Q111" s="3" t="s">
        <v>194</v>
      </c>
      <c r="R111" s="3">
        <v>1694.0</v>
      </c>
      <c r="S111" s="2" t="s">
        <v>47</v>
      </c>
      <c r="T111" s="2" t="s">
        <v>48</v>
      </c>
      <c r="U111" s="2" t="s">
        <v>49</v>
      </c>
      <c r="V111" s="2" t="s">
        <v>50</v>
      </c>
      <c r="W111" s="2" t="s">
        <v>51</v>
      </c>
      <c r="X111" s="2" t="s">
        <v>52</v>
      </c>
      <c r="Y111" s="2" t="s">
        <v>53</v>
      </c>
      <c r="Z111" s="3">
        <v>7.0</v>
      </c>
      <c r="AA111" s="2" t="s">
        <v>54</v>
      </c>
      <c r="AB111" s="3">
        <v>14.0</v>
      </c>
      <c r="AC111" s="3">
        <v>14.0</v>
      </c>
      <c r="AD111" s="7">
        <v>0.9048</v>
      </c>
      <c r="AE111" s="3">
        <v>38.0</v>
      </c>
      <c r="AF111" s="3">
        <v>3.0</v>
      </c>
      <c r="AG111" s="3">
        <v>0.0</v>
      </c>
      <c r="AH111" s="3">
        <v>3.0</v>
      </c>
      <c r="AI111" s="3">
        <v>0.0</v>
      </c>
      <c r="AJ111" s="3">
        <v>0.0</v>
      </c>
      <c r="AK111" s="3">
        <v>3.0</v>
      </c>
    </row>
    <row r="112">
      <c r="A112" s="2" t="s">
        <v>37</v>
      </c>
      <c r="B112" s="3">
        <v>37062.0</v>
      </c>
      <c r="C112" s="3" t="s">
        <v>196</v>
      </c>
      <c r="D112" s="3" t="s">
        <v>38</v>
      </c>
      <c r="E112" s="2" t="s">
        <v>72</v>
      </c>
      <c r="F112" s="3">
        <v>86357.0</v>
      </c>
      <c r="G112" s="2" t="s">
        <v>546</v>
      </c>
      <c r="H112" s="5">
        <v>45938.785775462966</v>
      </c>
      <c r="I112" s="2" t="s">
        <v>108</v>
      </c>
      <c r="J112" s="2" t="s">
        <v>42</v>
      </c>
      <c r="K112" s="2" t="s">
        <v>43</v>
      </c>
      <c r="L112" s="2" t="s">
        <v>44</v>
      </c>
      <c r="M112" s="2" t="s">
        <v>111</v>
      </c>
      <c r="N112" s="2" t="s">
        <v>547</v>
      </c>
      <c r="O112" s="2" t="s">
        <v>548</v>
      </c>
      <c r="P112" s="4">
        <v>46176.0</v>
      </c>
      <c r="Q112" s="3" t="s">
        <v>194</v>
      </c>
      <c r="R112" s="3">
        <v>1691.0</v>
      </c>
      <c r="S112" s="2" t="s">
        <v>339</v>
      </c>
      <c r="T112" s="2" t="s">
        <v>48</v>
      </c>
      <c r="U112" s="2" t="s">
        <v>49</v>
      </c>
      <c r="V112" s="2" t="s">
        <v>50</v>
      </c>
      <c r="W112" s="2" t="s">
        <v>51</v>
      </c>
      <c r="X112" s="2" t="s">
        <v>52</v>
      </c>
      <c r="Y112" s="2" t="s">
        <v>53</v>
      </c>
      <c r="Z112" s="3">
        <v>8.0</v>
      </c>
      <c r="AA112" s="2" t="s">
        <v>164</v>
      </c>
      <c r="AB112" s="3">
        <v>33.0</v>
      </c>
      <c r="AC112" s="3">
        <v>33.0</v>
      </c>
      <c r="AD112" s="7">
        <v>0.803</v>
      </c>
      <c r="AE112" s="3">
        <v>53.0</v>
      </c>
      <c r="AF112" s="3">
        <v>2.0</v>
      </c>
      <c r="AG112" s="3">
        <v>0.0</v>
      </c>
      <c r="AH112" s="3">
        <v>2.0</v>
      </c>
      <c r="AI112" s="3">
        <v>0.0</v>
      </c>
      <c r="AJ112" s="3">
        <v>0.0</v>
      </c>
      <c r="AK112" s="3">
        <v>2.0</v>
      </c>
    </row>
    <row r="113">
      <c r="A113" s="2" t="s">
        <v>37</v>
      </c>
      <c r="B113" s="3">
        <v>39013.0</v>
      </c>
      <c r="C113" s="3" t="s">
        <v>142</v>
      </c>
      <c r="D113" s="5">
        <v>46112.99998842592</v>
      </c>
      <c r="E113" s="2" t="s">
        <v>39</v>
      </c>
      <c r="F113" s="3">
        <v>72535.0</v>
      </c>
      <c r="G113" s="2" t="s">
        <v>549</v>
      </c>
      <c r="H113" s="5">
        <v>45424.8009375</v>
      </c>
      <c r="I113" s="2" t="s">
        <v>57</v>
      </c>
      <c r="J113" s="2" t="s">
        <v>550</v>
      </c>
      <c r="K113" s="2" t="s">
        <v>551</v>
      </c>
      <c r="L113" s="2" t="s">
        <v>552</v>
      </c>
      <c r="M113" s="2" t="s">
        <v>553</v>
      </c>
      <c r="N113" s="2" t="s">
        <v>554</v>
      </c>
      <c r="O113" s="2" t="s">
        <v>555</v>
      </c>
      <c r="P113" s="4">
        <v>46268.0</v>
      </c>
      <c r="Q113" s="3" t="s">
        <v>208</v>
      </c>
      <c r="R113" s="3">
        <v>1995.0</v>
      </c>
      <c r="S113" s="2" t="s">
        <v>372</v>
      </c>
      <c r="T113" s="2" t="s">
        <v>88</v>
      </c>
      <c r="U113" s="2" t="s">
        <v>149</v>
      </c>
      <c r="V113" s="2" t="s">
        <v>150</v>
      </c>
      <c r="W113" s="2" t="s">
        <v>51</v>
      </c>
      <c r="X113" s="2" t="s">
        <v>96</v>
      </c>
      <c r="Y113" s="2" t="s">
        <v>53</v>
      </c>
      <c r="Z113" s="3">
        <v>6.0</v>
      </c>
      <c r="AA113" s="2" t="s">
        <v>54</v>
      </c>
      <c r="AB113" s="3">
        <v>75.0</v>
      </c>
      <c r="AC113" s="3">
        <v>62.0</v>
      </c>
      <c r="AD113" s="7">
        <v>0.828</v>
      </c>
      <c r="AE113" s="3">
        <v>154.0</v>
      </c>
      <c r="AF113" s="3">
        <v>4.0</v>
      </c>
      <c r="AG113" s="3">
        <v>0.0</v>
      </c>
      <c r="AH113" s="3">
        <v>2.0</v>
      </c>
      <c r="AI113" s="3">
        <v>1.0</v>
      </c>
      <c r="AJ113" s="3">
        <v>1.0</v>
      </c>
      <c r="AK113" s="3">
        <v>3.0</v>
      </c>
    </row>
    <row r="114">
      <c r="A114" s="2" t="s">
        <v>37</v>
      </c>
      <c r="B114" s="3">
        <v>39776.0</v>
      </c>
      <c r="C114" s="8">
        <v>46002.0</v>
      </c>
      <c r="D114" s="3" t="s">
        <v>38</v>
      </c>
      <c r="E114" s="2" t="s">
        <v>72</v>
      </c>
      <c r="F114" s="3">
        <v>88205.0</v>
      </c>
      <c r="G114" s="2" t="s">
        <v>556</v>
      </c>
      <c r="H114" s="5">
        <v>46042.41155092593</v>
      </c>
      <c r="I114" s="2" t="s">
        <v>557</v>
      </c>
      <c r="J114" s="2" t="s">
        <v>558</v>
      </c>
      <c r="K114" s="2" t="s">
        <v>59</v>
      </c>
      <c r="L114" s="2" t="s">
        <v>44</v>
      </c>
      <c r="M114" s="2" t="s">
        <v>60</v>
      </c>
      <c r="N114" s="2" t="s">
        <v>100</v>
      </c>
      <c r="O114" s="2" t="s">
        <v>559</v>
      </c>
      <c r="P114" s="4">
        <v>46145.0</v>
      </c>
      <c r="Q114" s="4">
        <v>46176.0</v>
      </c>
      <c r="R114" s="3">
        <v>2028.0</v>
      </c>
      <c r="S114" s="2" t="s">
        <v>560</v>
      </c>
      <c r="T114" s="2" t="s">
        <v>455</v>
      </c>
      <c r="U114" s="2" t="s">
        <v>561</v>
      </c>
      <c r="V114" s="2" t="s">
        <v>150</v>
      </c>
      <c r="W114" s="2" t="s">
        <v>51</v>
      </c>
      <c r="X114" s="2" t="s">
        <v>69</v>
      </c>
      <c r="Y114" s="2" t="s">
        <v>53</v>
      </c>
      <c r="Z114" s="3">
        <v>6.0</v>
      </c>
      <c r="AA114" s="2" t="s">
        <v>231</v>
      </c>
      <c r="AB114" s="3">
        <v>19.0</v>
      </c>
      <c r="AC114" s="3">
        <v>19.0</v>
      </c>
      <c r="AD114" s="7">
        <v>0.0</v>
      </c>
      <c r="AE114" s="3">
        <v>0.0</v>
      </c>
      <c r="AF114" s="3">
        <v>2.0</v>
      </c>
      <c r="AG114" s="3">
        <v>0.0</v>
      </c>
      <c r="AH114" s="3">
        <v>0.0</v>
      </c>
      <c r="AI114" s="3">
        <v>0.0</v>
      </c>
      <c r="AJ114" s="3">
        <v>2.0</v>
      </c>
      <c r="AK114" s="3">
        <v>0.0</v>
      </c>
    </row>
    <row r="115">
      <c r="A115" s="2" t="s">
        <v>37</v>
      </c>
      <c r="B115" s="3">
        <v>38981.0</v>
      </c>
      <c r="C115" s="3" t="s">
        <v>211</v>
      </c>
      <c r="D115" s="5">
        <v>46112.99998842592</v>
      </c>
      <c r="E115" s="2" t="s">
        <v>39</v>
      </c>
      <c r="F115" s="3">
        <v>85835.0</v>
      </c>
      <c r="G115" s="2" t="s">
        <v>562</v>
      </c>
      <c r="H115" s="5">
        <v>45916.69788194444</v>
      </c>
      <c r="I115" s="2" t="s">
        <v>563</v>
      </c>
      <c r="J115" s="2" t="s">
        <v>156</v>
      </c>
      <c r="K115" s="2" t="s">
        <v>59</v>
      </c>
      <c r="L115" s="2" t="s">
        <v>44</v>
      </c>
      <c r="M115" s="2" t="s">
        <v>111</v>
      </c>
      <c r="N115" s="2" t="s">
        <v>564</v>
      </c>
      <c r="O115" s="2" t="s">
        <v>565</v>
      </c>
      <c r="P115" s="4">
        <v>46298.0</v>
      </c>
      <c r="Q115" s="3" t="s">
        <v>92</v>
      </c>
      <c r="R115" s="3">
        <v>1999.0</v>
      </c>
      <c r="S115" s="2" t="s">
        <v>510</v>
      </c>
      <c r="T115" s="2" t="s">
        <v>88</v>
      </c>
      <c r="U115" s="2" t="s">
        <v>149</v>
      </c>
      <c r="V115" s="2" t="s">
        <v>150</v>
      </c>
      <c r="W115" s="2" t="s">
        <v>51</v>
      </c>
      <c r="X115" s="2" t="s">
        <v>96</v>
      </c>
      <c r="Y115" s="2" t="s">
        <v>53</v>
      </c>
      <c r="Z115" s="3">
        <v>6.0</v>
      </c>
      <c r="AA115" s="2" t="s">
        <v>54</v>
      </c>
      <c r="AB115" s="3">
        <v>24.0</v>
      </c>
      <c r="AC115" s="3">
        <v>24.0</v>
      </c>
      <c r="AD115" s="7">
        <v>0.8917</v>
      </c>
      <c r="AE115" s="3">
        <v>107.0</v>
      </c>
      <c r="AF115" s="3">
        <v>5.0</v>
      </c>
      <c r="AG115" s="3">
        <v>0.0</v>
      </c>
      <c r="AH115" s="3">
        <v>4.0</v>
      </c>
      <c r="AI115" s="3">
        <v>1.0</v>
      </c>
      <c r="AJ115" s="3">
        <v>0.0</v>
      </c>
      <c r="AK115" s="3">
        <v>5.0</v>
      </c>
    </row>
    <row r="116">
      <c r="A116" s="2" t="s">
        <v>37</v>
      </c>
      <c r="B116" s="3">
        <v>37367.0</v>
      </c>
      <c r="C116" s="3" t="s">
        <v>85</v>
      </c>
      <c r="D116" s="3" t="s">
        <v>38</v>
      </c>
      <c r="E116" s="2" t="s">
        <v>39</v>
      </c>
      <c r="F116" s="3">
        <v>87308.0</v>
      </c>
      <c r="G116" s="2" t="s">
        <v>566</v>
      </c>
      <c r="H116" s="5">
        <v>45996.73321759259</v>
      </c>
      <c r="J116" s="2" t="s">
        <v>204</v>
      </c>
      <c r="K116" s="2" t="s">
        <v>88</v>
      </c>
      <c r="L116" s="2" t="s">
        <v>44</v>
      </c>
      <c r="M116" s="2" t="s">
        <v>89</v>
      </c>
      <c r="N116" s="2" t="s">
        <v>278</v>
      </c>
      <c r="O116" s="2" t="s">
        <v>567</v>
      </c>
      <c r="P116" s="4">
        <v>46268.0</v>
      </c>
      <c r="Q116" s="3" t="s">
        <v>147</v>
      </c>
      <c r="R116" s="3">
        <v>1974.0</v>
      </c>
      <c r="S116" s="2" t="s">
        <v>380</v>
      </c>
      <c r="T116" s="2" t="s">
        <v>88</v>
      </c>
      <c r="U116" s="2" t="s">
        <v>94</v>
      </c>
      <c r="V116" s="2" t="s">
        <v>95</v>
      </c>
      <c r="W116" s="2" t="s">
        <v>51</v>
      </c>
      <c r="X116" s="2" t="s">
        <v>96</v>
      </c>
      <c r="Y116" s="2" t="s">
        <v>53</v>
      </c>
      <c r="Z116" s="3">
        <v>6.0</v>
      </c>
      <c r="AA116" s="2" t="s">
        <v>54</v>
      </c>
      <c r="AB116" s="3">
        <v>10.0</v>
      </c>
      <c r="AC116" s="3">
        <v>9.0</v>
      </c>
      <c r="AD116" s="7">
        <v>0.8704</v>
      </c>
      <c r="AE116" s="3">
        <v>47.0</v>
      </c>
      <c r="AF116" s="3">
        <v>6.0</v>
      </c>
      <c r="AG116" s="3">
        <v>0.0</v>
      </c>
      <c r="AH116" s="3">
        <v>4.0</v>
      </c>
      <c r="AI116" s="3">
        <v>2.0</v>
      </c>
      <c r="AJ116" s="3">
        <v>0.0</v>
      </c>
      <c r="AK116" s="3">
        <v>6.0</v>
      </c>
    </row>
    <row r="117">
      <c r="A117" s="2" t="s">
        <v>37</v>
      </c>
      <c r="B117" s="3">
        <v>36808.0</v>
      </c>
      <c r="C117" s="3" t="s">
        <v>71</v>
      </c>
      <c r="D117" s="3" t="s">
        <v>38</v>
      </c>
      <c r="E117" s="2" t="s">
        <v>72</v>
      </c>
      <c r="F117" s="3">
        <v>79538.0</v>
      </c>
      <c r="G117" s="2" t="s">
        <v>568</v>
      </c>
      <c r="H117" s="5">
        <v>45665.484664351854</v>
      </c>
      <c r="I117" s="2" t="s">
        <v>569</v>
      </c>
      <c r="J117" s="2" t="s">
        <v>42</v>
      </c>
      <c r="K117" s="2" t="s">
        <v>43</v>
      </c>
      <c r="L117" s="2" t="s">
        <v>44</v>
      </c>
      <c r="M117" s="2" t="s">
        <v>99</v>
      </c>
      <c r="N117" s="2" t="s">
        <v>570</v>
      </c>
      <c r="O117" s="2" t="s">
        <v>571</v>
      </c>
      <c r="P117" s="4">
        <v>46084.0</v>
      </c>
      <c r="Q117" s="4">
        <v>46145.0</v>
      </c>
      <c r="R117" s="3">
        <v>1830.0</v>
      </c>
      <c r="S117" s="2" t="s">
        <v>572</v>
      </c>
      <c r="T117" s="2" t="s">
        <v>81</v>
      </c>
      <c r="U117" s="2" t="s">
        <v>573</v>
      </c>
      <c r="V117" s="2" t="s">
        <v>83</v>
      </c>
      <c r="W117" s="2" t="s">
        <v>68</v>
      </c>
      <c r="X117" s="2" t="s">
        <v>69</v>
      </c>
      <c r="Y117" s="2" t="s">
        <v>53</v>
      </c>
      <c r="Z117" s="3">
        <v>8.0</v>
      </c>
      <c r="AA117" s="2" t="s">
        <v>141</v>
      </c>
      <c r="AB117" s="3">
        <v>23.0</v>
      </c>
      <c r="AC117" s="3">
        <v>23.0</v>
      </c>
      <c r="AD117" s="7">
        <v>0.7826</v>
      </c>
      <c r="AE117" s="3">
        <v>36.0</v>
      </c>
      <c r="AF117" s="3">
        <v>2.0</v>
      </c>
      <c r="AG117" s="3">
        <v>0.0</v>
      </c>
      <c r="AH117" s="3">
        <v>1.0</v>
      </c>
      <c r="AI117" s="3">
        <v>1.0</v>
      </c>
      <c r="AJ117" s="3">
        <v>0.0</v>
      </c>
      <c r="AK117" s="3">
        <v>2.0</v>
      </c>
    </row>
    <row r="118">
      <c r="A118" s="2" t="s">
        <v>37</v>
      </c>
      <c r="B118" s="3">
        <v>36853.0</v>
      </c>
      <c r="C118" s="3" t="s">
        <v>71</v>
      </c>
      <c r="D118" s="3" t="s">
        <v>38</v>
      </c>
      <c r="E118" s="2" t="s">
        <v>72</v>
      </c>
      <c r="F118" s="3">
        <v>73204.0</v>
      </c>
      <c r="G118" s="2" t="s">
        <v>574</v>
      </c>
      <c r="H118" s="5">
        <v>45461.52780092593</v>
      </c>
      <c r="I118" s="2" t="s">
        <v>296</v>
      </c>
      <c r="J118" s="2" t="s">
        <v>575</v>
      </c>
      <c r="K118" s="2" t="s">
        <v>81</v>
      </c>
      <c r="L118" s="2" t="s">
        <v>44</v>
      </c>
      <c r="M118" s="2" t="s">
        <v>89</v>
      </c>
      <c r="N118" s="2" t="s">
        <v>298</v>
      </c>
      <c r="O118" s="2" t="s">
        <v>576</v>
      </c>
      <c r="P118" s="4">
        <v>46206.0</v>
      </c>
      <c r="Q118" s="4">
        <v>46206.0</v>
      </c>
      <c r="R118" s="3">
        <v>1762.0</v>
      </c>
      <c r="S118" s="2" t="s">
        <v>139</v>
      </c>
      <c r="T118" s="2" t="s">
        <v>81</v>
      </c>
      <c r="U118" s="2" t="s">
        <v>140</v>
      </c>
      <c r="V118" s="2" t="s">
        <v>83</v>
      </c>
      <c r="W118" s="2" t="s">
        <v>68</v>
      </c>
      <c r="X118" s="2" t="s">
        <v>69</v>
      </c>
      <c r="Y118" s="2" t="s">
        <v>53</v>
      </c>
      <c r="Z118" s="3">
        <v>9.0</v>
      </c>
      <c r="AA118" s="2" t="s">
        <v>84</v>
      </c>
      <c r="AB118" s="3">
        <v>29.0</v>
      </c>
      <c r="AC118" s="3">
        <v>29.0</v>
      </c>
      <c r="AD118" s="7">
        <v>0.8621</v>
      </c>
      <c r="AE118" s="3">
        <v>25.0</v>
      </c>
      <c r="AF118" s="3">
        <v>1.0</v>
      </c>
      <c r="AG118" s="3">
        <v>0.0</v>
      </c>
      <c r="AH118" s="3">
        <v>1.0</v>
      </c>
      <c r="AI118" s="3">
        <v>0.0</v>
      </c>
      <c r="AJ118" s="3">
        <v>0.0</v>
      </c>
      <c r="AK118" s="3">
        <v>1.0</v>
      </c>
    </row>
    <row r="119">
      <c r="A119" s="2" t="s">
        <v>37</v>
      </c>
      <c r="B119" s="3">
        <v>36864.0</v>
      </c>
      <c r="C119" s="3" t="s">
        <v>302</v>
      </c>
      <c r="D119" s="3" t="s">
        <v>38</v>
      </c>
      <c r="E119" s="2" t="s">
        <v>72</v>
      </c>
      <c r="F119" s="3">
        <v>73204.0</v>
      </c>
      <c r="G119" s="2" t="s">
        <v>574</v>
      </c>
      <c r="H119" s="5">
        <v>45461.52780092593</v>
      </c>
      <c r="I119" s="2" t="s">
        <v>296</v>
      </c>
      <c r="J119" s="2" t="s">
        <v>575</v>
      </c>
      <c r="K119" s="2" t="s">
        <v>81</v>
      </c>
      <c r="L119" s="2" t="s">
        <v>44</v>
      </c>
      <c r="M119" s="2" t="s">
        <v>89</v>
      </c>
      <c r="N119" s="2" t="s">
        <v>298</v>
      </c>
      <c r="O119" s="2" t="s">
        <v>576</v>
      </c>
      <c r="P119" s="4">
        <v>46176.0</v>
      </c>
      <c r="Q119" s="4">
        <v>46176.0</v>
      </c>
      <c r="R119" s="3">
        <v>1762.0</v>
      </c>
      <c r="S119" s="2" t="s">
        <v>139</v>
      </c>
      <c r="T119" s="2" t="s">
        <v>81</v>
      </c>
      <c r="U119" s="2" t="s">
        <v>140</v>
      </c>
      <c r="V119" s="2" t="s">
        <v>83</v>
      </c>
      <c r="W119" s="2" t="s">
        <v>68</v>
      </c>
      <c r="X119" s="2" t="s">
        <v>69</v>
      </c>
      <c r="Y119" s="2" t="s">
        <v>53</v>
      </c>
      <c r="Z119" s="3">
        <v>7.0</v>
      </c>
      <c r="AA119" s="2" t="s">
        <v>141</v>
      </c>
      <c r="AB119" s="3">
        <v>20.0</v>
      </c>
      <c r="AC119" s="3">
        <v>20.0</v>
      </c>
      <c r="AD119" s="7">
        <v>1.0</v>
      </c>
      <c r="AE119" s="3">
        <v>20.0</v>
      </c>
      <c r="AF119" s="3">
        <v>1.0</v>
      </c>
      <c r="AG119" s="3">
        <v>0.0</v>
      </c>
      <c r="AH119" s="3">
        <v>1.0</v>
      </c>
      <c r="AI119" s="3">
        <v>0.0</v>
      </c>
      <c r="AJ119" s="3">
        <v>0.0</v>
      </c>
      <c r="AK119" s="3">
        <v>1.0</v>
      </c>
    </row>
    <row r="120">
      <c r="A120" s="2" t="s">
        <v>37</v>
      </c>
      <c r="B120" s="3">
        <v>36865.0</v>
      </c>
      <c r="C120" s="3" t="s">
        <v>302</v>
      </c>
      <c r="D120" s="3" t="s">
        <v>38</v>
      </c>
      <c r="E120" s="2" t="s">
        <v>72</v>
      </c>
      <c r="F120" s="3">
        <v>73204.0</v>
      </c>
      <c r="G120" s="2" t="s">
        <v>574</v>
      </c>
      <c r="H120" s="5">
        <v>45461.52780092593</v>
      </c>
      <c r="I120" s="2" t="s">
        <v>296</v>
      </c>
      <c r="J120" s="2" t="s">
        <v>575</v>
      </c>
      <c r="K120" s="2" t="s">
        <v>81</v>
      </c>
      <c r="L120" s="2" t="s">
        <v>44</v>
      </c>
      <c r="M120" s="2" t="s">
        <v>89</v>
      </c>
      <c r="N120" s="2" t="s">
        <v>298</v>
      </c>
      <c r="O120" s="2" t="s">
        <v>576</v>
      </c>
      <c r="P120" s="4">
        <v>46206.0</v>
      </c>
      <c r="Q120" s="4">
        <v>46206.0</v>
      </c>
      <c r="R120" s="3">
        <v>1762.0</v>
      </c>
      <c r="S120" s="2" t="s">
        <v>139</v>
      </c>
      <c r="T120" s="2" t="s">
        <v>81</v>
      </c>
      <c r="U120" s="2" t="s">
        <v>140</v>
      </c>
      <c r="V120" s="2" t="s">
        <v>83</v>
      </c>
      <c r="W120" s="2" t="s">
        <v>68</v>
      </c>
      <c r="X120" s="2" t="s">
        <v>69</v>
      </c>
      <c r="Y120" s="2" t="s">
        <v>53</v>
      </c>
      <c r="Z120" s="3">
        <v>8.0</v>
      </c>
      <c r="AA120" s="2" t="s">
        <v>141</v>
      </c>
      <c r="AB120" s="3">
        <v>25.0</v>
      </c>
      <c r="AC120" s="3">
        <v>25.0</v>
      </c>
      <c r="AD120" s="7">
        <v>0.84</v>
      </c>
      <c r="AE120" s="3">
        <v>21.0</v>
      </c>
      <c r="AF120" s="3">
        <v>1.0</v>
      </c>
      <c r="AG120" s="3">
        <v>0.0</v>
      </c>
      <c r="AH120" s="3">
        <v>1.0</v>
      </c>
      <c r="AI120" s="3">
        <v>0.0</v>
      </c>
      <c r="AJ120" s="3">
        <v>0.0</v>
      </c>
      <c r="AK120" s="3">
        <v>1.0</v>
      </c>
    </row>
    <row r="121">
      <c r="A121" s="2" t="s">
        <v>37</v>
      </c>
      <c r="B121" s="3">
        <v>36974.0</v>
      </c>
      <c r="C121" s="4">
        <v>45662.0</v>
      </c>
      <c r="D121" s="3" t="s">
        <v>38</v>
      </c>
      <c r="E121" s="2" t="s">
        <v>72</v>
      </c>
      <c r="F121" s="3">
        <v>73204.0</v>
      </c>
      <c r="G121" s="2" t="s">
        <v>574</v>
      </c>
      <c r="H121" s="5">
        <v>45461.52780092593</v>
      </c>
      <c r="I121" s="2" t="s">
        <v>296</v>
      </c>
      <c r="J121" s="2" t="s">
        <v>575</v>
      </c>
      <c r="K121" s="2" t="s">
        <v>81</v>
      </c>
      <c r="L121" s="2" t="s">
        <v>44</v>
      </c>
      <c r="M121" s="2" t="s">
        <v>89</v>
      </c>
      <c r="N121" s="2" t="s">
        <v>298</v>
      </c>
      <c r="O121" s="2" t="s">
        <v>576</v>
      </c>
      <c r="P121" s="4">
        <v>46176.0</v>
      </c>
      <c r="Q121" s="4">
        <v>46176.0</v>
      </c>
      <c r="R121" s="3">
        <v>1762.0</v>
      </c>
      <c r="S121" s="2" t="s">
        <v>139</v>
      </c>
      <c r="T121" s="2" t="s">
        <v>81</v>
      </c>
      <c r="U121" s="2" t="s">
        <v>140</v>
      </c>
      <c r="V121" s="2" t="s">
        <v>83</v>
      </c>
      <c r="W121" s="2" t="s">
        <v>68</v>
      </c>
      <c r="X121" s="2" t="s">
        <v>69</v>
      </c>
      <c r="Y121" s="2" t="s">
        <v>53</v>
      </c>
      <c r="Z121" s="3">
        <v>6.0</v>
      </c>
      <c r="AA121" s="2" t="s">
        <v>180</v>
      </c>
      <c r="AB121" s="3">
        <v>19.0</v>
      </c>
      <c r="AC121" s="3">
        <v>19.0</v>
      </c>
      <c r="AD121" s="7">
        <v>0.9474</v>
      </c>
      <c r="AE121" s="3">
        <v>18.0</v>
      </c>
      <c r="AF121" s="3">
        <v>1.0</v>
      </c>
      <c r="AG121" s="3">
        <v>0.0</v>
      </c>
      <c r="AH121" s="3">
        <v>1.0</v>
      </c>
      <c r="AI121" s="3">
        <v>0.0</v>
      </c>
      <c r="AJ121" s="3">
        <v>0.0</v>
      </c>
      <c r="AK121" s="3">
        <v>1.0</v>
      </c>
    </row>
    <row r="122">
      <c r="A122" s="2" t="s">
        <v>37</v>
      </c>
      <c r="B122" s="3">
        <v>38852.0</v>
      </c>
      <c r="C122" s="3" t="s">
        <v>106</v>
      </c>
      <c r="D122" s="3" t="s">
        <v>38</v>
      </c>
      <c r="E122" s="2" t="s">
        <v>39</v>
      </c>
      <c r="F122" s="3">
        <v>84109.0</v>
      </c>
      <c r="G122" s="2" t="s">
        <v>577</v>
      </c>
      <c r="H122" s="5">
        <v>45860.641180555554</v>
      </c>
      <c r="I122" s="2" t="s">
        <v>108</v>
      </c>
      <c r="J122" s="2" t="s">
        <v>191</v>
      </c>
      <c r="K122" s="2" t="s">
        <v>110</v>
      </c>
      <c r="L122" s="2" t="s">
        <v>44</v>
      </c>
      <c r="M122" s="2" t="s">
        <v>111</v>
      </c>
      <c r="N122" s="2" t="s">
        <v>578</v>
      </c>
      <c r="O122" s="2" t="s">
        <v>579</v>
      </c>
      <c r="P122" s="4">
        <v>46084.0</v>
      </c>
      <c r="Q122" s="3" t="s">
        <v>393</v>
      </c>
      <c r="R122" s="3">
        <v>1702.0</v>
      </c>
      <c r="S122" s="2" t="s">
        <v>244</v>
      </c>
      <c r="T122" s="2" t="s">
        <v>110</v>
      </c>
      <c r="U122" s="2" t="s">
        <v>187</v>
      </c>
      <c r="V122" s="2" t="s">
        <v>116</v>
      </c>
      <c r="W122" s="2" t="s">
        <v>51</v>
      </c>
      <c r="X122" s="2" t="s">
        <v>117</v>
      </c>
      <c r="Y122" s="2" t="s">
        <v>53</v>
      </c>
      <c r="Z122" s="3">
        <v>8.0</v>
      </c>
      <c r="AA122" s="2" t="s">
        <v>54</v>
      </c>
      <c r="AB122" s="3">
        <v>14.0</v>
      </c>
      <c r="AC122" s="3">
        <v>14.0</v>
      </c>
      <c r="AD122" s="7">
        <v>0.9821</v>
      </c>
      <c r="AE122" s="3">
        <v>110.0</v>
      </c>
      <c r="AF122" s="3">
        <v>8.0</v>
      </c>
      <c r="AG122" s="3">
        <v>0.0</v>
      </c>
      <c r="AH122" s="3">
        <v>8.0</v>
      </c>
      <c r="AI122" s="3">
        <v>0.0</v>
      </c>
      <c r="AJ122" s="3">
        <v>0.0</v>
      </c>
      <c r="AK122" s="3">
        <v>8.0</v>
      </c>
    </row>
    <row r="123">
      <c r="A123" s="2" t="s">
        <v>37</v>
      </c>
      <c r="B123" s="3">
        <v>38958.0</v>
      </c>
      <c r="C123" s="3" t="s">
        <v>211</v>
      </c>
      <c r="D123" s="5">
        <v>46112.99998842592</v>
      </c>
      <c r="E123" s="2" t="s">
        <v>39</v>
      </c>
      <c r="F123" s="3">
        <v>81217.0</v>
      </c>
      <c r="G123" s="2" t="s">
        <v>580</v>
      </c>
      <c r="H123" s="5">
        <v>45782.024363425924</v>
      </c>
      <c r="I123" s="2" t="s">
        <v>57</v>
      </c>
      <c r="J123" s="2" t="s">
        <v>204</v>
      </c>
      <c r="K123" s="2" t="s">
        <v>88</v>
      </c>
      <c r="L123" s="2" t="s">
        <v>44</v>
      </c>
      <c r="M123" s="2" t="s">
        <v>60</v>
      </c>
      <c r="N123" s="2" t="s">
        <v>581</v>
      </c>
      <c r="O123" s="2" t="s">
        <v>582</v>
      </c>
      <c r="P123" s="4">
        <v>46298.0</v>
      </c>
      <c r="Q123" s="3" t="s">
        <v>92</v>
      </c>
      <c r="R123" s="3">
        <v>1998.0</v>
      </c>
      <c r="S123" s="2" t="s">
        <v>583</v>
      </c>
      <c r="T123" s="2" t="s">
        <v>88</v>
      </c>
      <c r="U123" s="2" t="s">
        <v>149</v>
      </c>
      <c r="V123" s="2" t="s">
        <v>150</v>
      </c>
      <c r="W123" s="2" t="s">
        <v>51</v>
      </c>
      <c r="X123" s="2" t="s">
        <v>96</v>
      </c>
      <c r="Y123" s="2" t="s">
        <v>53</v>
      </c>
      <c r="Z123" s="3">
        <v>7.0</v>
      </c>
      <c r="AA123" s="2" t="s">
        <v>54</v>
      </c>
      <c r="AB123" s="3">
        <v>27.0</v>
      </c>
      <c r="AC123" s="3">
        <v>27.0</v>
      </c>
      <c r="AD123" s="7">
        <v>0.5852</v>
      </c>
      <c r="AE123" s="3">
        <v>79.0</v>
      </c>
      <c r="AF123" s="3">
        <v>5.0</v>
      </c>
      <c r="AG123" s="3">
        <v>0.0</v>
      </c>
      <c r="AH123" s="3">
        <v>2.0</v>
      </c>
      <c r="AI123" s="3">
        <v>3.0</v>
      </c>
      <c r="AJ123" s="3">
        <v>0.0</v>
      </c>
      <c r="AK123" s="3">
        <v>5.0</v>
      </c>
    </row>
    <row r="124">
      <c r="A124" s="2" t="s">
        <v>37</v>
      </c>
      <c r="B124" s="3">
        <v>38997.0</v>
      </c>
      <c r="C124" s="3" t="s">
        <v>142</v>
      </c>
      <c r="D124" s="5">
        <v>46112.99998842592</v>
      </c>
      <c r="E124" s="2" t="s">
        <v>39</v>
      </c>
      <c r="F124" s="3">
        <v>81158.0</v>
      </c>
      <c r="G124" s="2" t="s">
        <v>584</v>
      </c>
      <c r="H124" s="5">
        <v>45777.71665509259</v>
      </c>
      <c r="I124" s="2" t="s">
        <v>57</v>
      </c>
      <c r="J124" s="2" t="s">
        <v>42</v>
      </c>
      <c r="K124" s="2" t="s">
        <v>43</v>
      </c>
      <c r="L124" s="2" t="s">
        <v>44</v>
      </c>
      <c r="M124" s="2" t="s">
        <v>111</v>
      </c>
      <c r="N124" s="2" t="s">
        <v>462</v>
      </c>
      <c r="O124" s="2" t="s">
        <v>585</v>
      </c>
      <c r="P124" s="4">
        <v>46268.0</v>
      </c>
      <c r="Q124" s="3" t="s">
        <v>147</v>
      </c>
      <c r="R124" s="3">
        <v>2003.0</v>
      </c>
      <c r="S124" s="2" t="s">
        <v>217</v>
      </c>
      <c r="T124" s="2" t="s">
        <v>88</v>
      </c>
      <c r="U124" s="2" t="s">
        <v>149</v>
      </c>
      <c r="V124" s="2" t="s">
        <v>150</v>
      </c>
      <c r="W124" s="2" t="s">
        <v>51</v>
      </c>
      <c r="X124" s="2" t="s">
        <v>96</v>
      </c>
      <c r="Y124" s="2" t="s">
        <v>53</v>
      </c>
      <c r="Z124" s="3">
        <v>6.0</v>
      </c>
      <c r="AA124" s="2" t="s">
        <v>54</v>
      </c>
      <c r="AB124" s="3">
        <v>56.0</v>
      </c>
      <c r="AC124" s="3">
        <v>30.0</v>
      </c>
      <c r="AD124" s="7">
        <v>0.2889</v>
      </c>
      <c r="AE124" s="3">
        <v>52.0</v>
      </c>
      <c r="AF124" s="3">
        <v>6.0</v>
      </c>
      <c r="AG124" s="3">
        <v>0.0</v>
      </c>
      <c r="AH124" s="3">
        <v>4.0</v>
      </c>
      <c r="AI124" s="3">
        <v>2.0</v>
      </c>
      <c r="AJ124" s="3">
        <v>0.0</v>
      </c>
      <c r="AK124" s="3">
        <v>6.0</v>
      </c>
    </row>
    <row r="125">
      <c r="A125" s="2" t="s">
        <v>37</v>
      </c>
      <c r="B125" s="3">
        <v>38990.0</v>
      </c>
      <c r="C125" s="3" t="s">
        <v>142</v>
      </c>
      <c r="D125" s="5">
        <v>46112.99998842592</v>
      </c>
      <c r="E125" s="2" t="s">
        <v>39</v>
      </c>
      <c r="F125" s="3">
        <v>85559.0</v>
      </c>
      <c r="G125" s="2" t="s">
        <v>586</v>
      </c>
      <c r="H125" s="5">
        <v>45904.996087962965</v>
      </c>
      <c r="I125" s="2" t="s">
        <v>57</v>
      </c>
      <c r="J125" s="2" t="s">
        <v>42</v>
      </c>
      <c r="K125" s="2" t="s">
        <v>43</v>
      </c>
      <c r="L125" s="2" t="s">
        <v>44</v>
      </c>
      <c r="M125" s="2" t="s">
        <v>111</v>
      </c>
      <c r="N125" s="2" t="s">
        <v>587</v>
      </c>
      <c r="O125" s="2" t="s">
        <v>588</v>
      </c>
      <c r="P125" s="4">
        <v>46298.0</v>
      </c>
      <c r="Q125" s="3" t="s">
        <v>92</v>
      </c>
      <c r="R125" s="3">
        <v>1994.0</v>
      </c>
      <c r="S125" s="2" t="s">
        <v>354</v>
      </c>
      <c r="T125" s="2" t="s">
        <v>88</v>
      </c>
      <c r="U125" s="2" t="s">
        <v>149</v>
      </c>
      <c r="V125" s="2" t="s">
        <v>150</v>
      </c>
      <c r="W125" s="2" t="s">
        <v>51</v>
      </c>
      <c r="X125" s="2" t="s">
        <v>96</v>
      </c>
      <c r="Y125" s="2" t="s">
        <v>210</v>
      </c>
      <c r="Z125" s="3">
        <v>8.0</v>
      </c>
      <c r="AA125" s="2" t="s">
        <v>164</v>
      </c>
      <c r="AB125" s="3">
        <v>30.0</v>
      </c>
      <c r="AC125" s="3">
        <v>30.0</v>
      </c>
      <c r="AD125" s="7">
        <v>0.9833</v>
      </c>
      <c r="AE125" s="3">
        <v>118.0</v>
      </c>
      <c r="AF125" s="3">
        <v>4.0</v>
      </c>
      <c r="AG125" s="3">
        <v>0.0</v>
      </c>
      <c r="AH125" s="3">
        <v>3.0</v>
      </c>
      <c r="AI125" s="3">
        <v>1.0</v>
      </c>
      <c r="AJ125" s="3">
        <v>0.0</v>
      </c>
      <c r="AK125" s="3">
        <v>4.0</v>
      </c>
    </row>
    <row r="126">
      <c r="A126" s="2" t="s">
        <v>37</v>
      </c>
      <c r="B126" s="3">
        <v>38823.0</v>
      </c>
      <c r="C126" s="3" t="s">
        <v>106</v>
      </c>
      <c r="D126" s="3" t="s">
        <v>38</v>
      </c>
      <c r="E126" s="2" t="s">
        <v>39</v>
      </c>
      <c r="F126" s="3">
        <v>85333.0</v>
      </c>
      <c r="G126" s="2" t="s">
        <v>589</v>
      </c>
      <c r="H126" s="5">
        <v>45897.50037037037</v>
      </c>
      <c r="I126" s="2" t="s">
        <v>57</v>
      </c>
      <c r="J126" s="2" t="s">
        <v>590</v>
      </c>
      <c r="K126" s="2" t="s">
        <v>411</v>
      </c>
      <c r="L126" s="2" t="s">
        <v>412</v>
      </c>
      <c r="M126" s="2" t="s">
        <v>553</v>
      </c>
      <c r="N126" s="2" t="s">
        <v>413</v>
      </c>
      <c r="O126" s="2" t="s">
        <v>591</v>
      </c>
      <c r="P126" s="4">
        <v>46084.0</v>
      </c>
      <c r="Q126" s="3" t="s">
        <v>236</v>
      </c>
      <c r="R126" s="3">
        <v>1332.0</v>
      </c>
      <c r="S126" s="2" t="s">
        <v>114</v>
      </c>
      <c r="T126" s="2" t="s">
        <v>110</v>
      </c>
      <c r="U126" s="2" t="s">
        <v>115</v>
      </c>
      <c r="V126" s="2" t="s">
        <v>116</v>
      </c>
      <c r="W126" s="2" t="s">
        <v>51</v>
      </c>
      <c r="X126" s="2" t="s">
        <v>117</v>
      </c>
      <c r="Y126" s="2" t="s">
        <v>188</v>
      </c>
      <c r="Z126" s="3">
        <v>8.0</v>
      </c>
      <c r="AA126" s="2" t="s">
        <v>164</v>
      </c>
      <c r="AB126" s="3">
        <v>29.0</v>
      </c>
      <c r="AC126" s="3">
        <v>29.0</v>
      </c>
      <c r="AD126" s="7">
        <v>1.0</v>
      </c>
      <c r="AE126" s="3">
        <v>203.0</v>
      </c>
      <c r="AF126" s="3">
        <v>8.0</v>
      </c>
      <c r="AG126" s="3">
        <v>0.0</v>
      </c>
      <c r="AH126" s="3">
        <v>7.0</v>
      </c>
      <c r="AI126" s="3">
        <v>0.0</v>
      </c>
      <c r="AJ126" s="3">
        <v>1.0</v>
      </c>
      <c r="AK126" s="3">
        <v>7.0</v>
      </c>
    </row>
    <row r="127">
      <c r="A127" s="2" t="s">
        <v>37</v>
      </c>
      <c r="B127" s="3">
        <v>39107.0</v>
      </c>
      <c r="C127" s="3" t="s">
        <v>303</v>
      </c>
      <c r="D127" s="3" t="s">
        <v>38</v>
      </c>
      <c r="E127" s="2" t="s">
        <v>39</v>
      </c>
      <c r="F127" s="3">
        <v>47317.0</v>
      </c>
      <c r="G127" s="2" t="s">
        <v>592</v>
      </c>
      <c r="H127" s="5">
        <v>44282.892858796295</v>
      </c>
      <c r="I127" s="2" t="s">
        <v>57</v>
      </c>
      <c r="J127" s="2" t="s">
        <v>191</v>
      </c>
      <c r="K127" s="2" t="s">
        <v>110</v>
      </c>
      <c r="L127" s="2" t="s">
        <v>44</v>
      </c>
      <c r="M127" s="2" t="s">
        <v>333</v>
      </c>
      <c r="N127" s="2" t="s">
        <v>593</v>
      </c>
      <c r="O127" s="2" t="s">
        <v>594</v>
      </c>
      <c r="P127" s="4">
        <v>46056.0</v>
      </c>
      <c r="Q127" s="4">
        <v>46329.0</v>
      </c>
      <c r="R127" s="3">
        <v>1707.0</v>
      </c>
      <c r="S127" s="2" t="s">
        <v>595</v>
      </c>
      <c r="T127" s="2" t="s">
        <v>110</v>
      </c>
      <c r="U127" s="2" t="s">
        <v>187</v>
      </c>
      <c r="V127" s="2" t="s">
        <v>116</v>
      </c>
      <c r="W127" s="2" t="s">
        <v>51</v>
      </c>
      <c r="X127" s="2" t="s">
        <v>117</v>
      </c>
      <c r="Y127" s="2" t="s">
        <v>188</v>
      </c>
      <c r="Z127" s="3">
        <v>8.0</v>
      </c>
      <c r="AA127" s="2" t="s">
        <v>164</v>
      </c>
      <c r="AB127" s="3">
        <v>29.0</v>
      </c>
      <c r="AC127" s="3">
        <v>29.0</v>
      </c>
      <c r="AD127" s="7">
        <v>0.9741</v>
      </c>
      <c r="AE127" s="3">
        <v>113.0</v>
      </c>
      <c r="AF127" s="3">
        <v>4.0</v>
      </c>
      <c r="AG127" s="3">
        <v>0.0</v>
      </c>
      <c r="AH127" s="3">
        <v>4.0</v>
      </c>
      <c r="AI127" s="3">
        <v>0.0</v>
      </c>
      <c r="AJ127" s="3">
        <v>0.0</v>
      </c>
      <c r="AK127" s="3">
        <v>4.0</v>
      </c>
    </row>
    <row r="128">
      <c r="A128" s="2" t="s">
        <v>37</v>
      </c>
      <c r="B128" s="3">
        <v>39018.0</v>
      </c>
      <c r="C128" s="3" t="s">
        <v>142</v>
      </c>
      <c r="D128" s="5">
        <v>46112.99998842592</v>
      </c>
      <c r="E128" s="2" t="s">
        <v>39</v>
      </c>
      <c r="F128" s="3">
        <v>48725.0</v>
      </c>
      <c r="G128" s="2" t="s">
        <v>596</v>
      </c>
      <c r="H128" s="5">
        <v>44323.11746527778</v>
      </c>
      <c r="I128" s="2" t="s">
        <v>57</v>
      </c>
      <c r="J128" s="2" t="s">
        <v>597</v>
      </c>
      <c r="K128" s="2" t="s">
        <v>597</v>
      </c>
      <c r="L128" s="2" t="s">
        <v>597</v>
      </c>
      <c r="M128" s="2" t="s">
        <v>523</v>
      </c>
      <c r="N128" s="2" t="s">
        <v>598</v>
      </c>
      <c r="O128" s="2" t="s">
        <v>599</v>
      </c>
      <c r="P128" s="4">
        <v>46298.0</v>
      </c>
      <c r="Q128" s="3" t="s">
        <v>92</v>
      </c>
      <c r="R128" s="3">
        <v>1995.0</v>
      </c>
      <c r="S128" s="2" t="s">
        <v>372</v>
      </c>
      <c r="T128" s="2" t="s">
        <v>88</v>
      </c>
      <c r="U128" s="2" t="s">
        <v>149</v>
      </c>
      <c r="V128" s="2" t="s">
        <v>150</v>
      </c>
      <c r="W128" s="2" t="s">
        <v>51</v>
      </c>
      <c r="X128" s="2" t="s">
        <v>96</v>
      </c>
      <c r="Y128" s="2" t="s">
        <v>210</v>
      </c>
      <c r="Z128" s="3">
        <v>8.0</v>
      </c>
      <c r="AA128" s="2" t="s">
        <v>164</v>
      </c>
      <c r="AB128" s="3">
        <v>70.0</v>
      </c>
      <c r="AC128" s="3">
        <v>70.0</v>
      </c>
      <c r="AD128" s="7">
        <v>0.8619</v>
      </c>
      <c r="AE128" s="3">
        <v>181.0</v>
      </c>
      <c r="AF128" s="3">
        <v>4.0</v>
      </c>
      <c r="AG128" s="3">
        <v>0.0</v>
      </c>
      <c r="AH128" s="3">
        <v>0.0</v>
      </c>
      <c r="AI128" s="3">
        <v>3.0</v>
      </c>
      <c r="AJ128" s="3">
        <v>1.0</v>
      </c>
      <c r="AK128" s="3">
        <v>3.0</v>
      </c>
    </row>
    <row r="129">
      <c r="A129" s="2" t="s">
        <v>37</v>
      </c>
      <c r="B129" s="3">
        <v>37058.0</v>
      </c>
      <c r="C129" s="3" t="s">
        <v>196</v>
      </c>
      <c r="D129" s="3" t="s">
        <v>38</v>
      </c>
      <c r="E129" s="2" t="s">
        <v>39</v>
      </c>
      <c r="F129" s="3">
        <v>21470.0</v>
      </c>
      <c r="G129" s="2" t="s">
        <v>600</v>
      </c>
      <c r="H129" s="5">
        <v>43118.319340277776</v>
      </c>
      <c r="I129" s="2" t="s">
        <v>41</v>
      </c>
      <c r="J129" s="2" t="s">
        <v>601</v>
      </c>
      <c r="K129" s="2" t="s">
        <v>128</v>
      </c>
      <c r="L129" s="2" t="s">
        <v>44</v>
      </c>
      <c r="M129" s="2" t="s">
        <v>111</v>
      </c>
      <c r="N129" s="6"/>
      <c r="O129" s="2" t="s">
        <v>602</v>
      </c>
      <c r="P129" s="4">
        <v>46176.0</v>
      </c>
      <c r="Q129" s="3" t="s">
        <v>194</v>
      </c>
      <c r="R129" s="3">
        <v>1695.0</v>
      </c>
      <c r="S129" s="2" t="s">
        <v>294</v>
      </c>
      <c r="T129" s="2" t="s">
        <v>48</v>
      </c>
      <c r="U129" s="2" t="s">
        <v>49</v>
      </c>
      <c r="V129" s="2" t="s">
        <v>50</v>
      </c>
      <c r="W129" s="2" t="s">
        <v>51</v>
      </c>
      <c r="X129" s="2" t="s">
        <v>52</v>
      </c>
      <c r="Y129" s="2" t="s">
        <v>53</v>
      </c>
      <c r="Z129" s="3">
        <v>8.0</v>
      </c>
      <c r="AA129" s="2" t="s">
        <v>318</v>
      </c>
      <c r="AB129" s="3">
        <v>23.0</v>
      </c>
      <c r="AC129" s="3">
        <v>23.0</v>
      </c>
      <c r="AD129" s="7">
        <v>0.7826</v>
      </c>
      <c r="AE129" s="3">
        <v>54.0</v>
      </c>
      <c r="AF129" s="3">
        <v>3.0</v>
      </c>
      <c r="AG129" s="3">
        <v>0.0</v>
      </c>
      <c r="AH129" s="3">
        <v>3.0</v>
      </c>
      <c r="AI129" s="3">
        <v>0.0</v>
      </c>
      <c r="AJ129" s="3">
        <v>0.0</v>
      </c>
      <c r="AK129" s="3">
        <v>3.0</v>
      </c>
    </row>
    <row r="130">
      <c r="A130" s="2" t="s">
        <v>37</v>
      </c>
      <c r="B130" s="3">
        <v>39001.0</v>
      </c>
      <c r="C130" s="3" t="s">
        <v>142</v>
      </c>
      <c r="D130" s="5">
        <v>46112.99998842592</v>
      </c>
      <c r="E130" s="2" t="s">
        <v>39</v>
      </c>
      <c r="F130" s="3">
        <v>88470.0</v>
      </c>
      <c r="G130" s="2" t="s">
        <v>603</v>
      </c>
      <c r="H130" s="5">
        <v>46056.57854166667</v>
      </c>
      <c r="I130" s="2" t="s">
        <v>569</v>
      </c>
      <c r="J130" s="2" t="s">
        <v>378</v>
      </c>
      <c r="K130" s="2" t="s">
        <v>88</v>
      </c>
      <c r="L130" s="2" t="s">
        <v>44</v>
      </c>
      <c r="M130" s="2" t="s">
        <v>60</v>
      </c>
      <c r="N130" s="2" t="s">
        <v>100</v>
      </c>
      <c r="O130" s="2" t="s">
        <v>604</v>
      </c>
      <c r="P130" s="4">
        <v>46329.0</v>
      </c>
      <c r="Q130" s="3" t="s">
        <v>147</v>
      </c>
      <c r="R130" s="3">
        <v>2003.0</v>
      </c>
      <c r="S130" s="2" t="s">
        <v>217</v>
      </c>
      <c r="T130" s="2" t="s">
        <v>88</v>
      </c>
      <c r="U130" s="2" t="s">
        <v>149</v>
      </c>
      <c r="V130" s="2" t="s">
        <v>150</v>
      </c>
      <c r="W130" s="2" t="s">
        <v>51</v>
      </c>
      <c r="X130" s="2" t="s">
        <v>96</v>
      </c>
      <c r="Y130" s="2" t="s">
        <v>210</v>
      </c>
      <c r="Z130" s="3">
        <v>7.0</v>
      </c>
      <c r="AA130" s="2" t="s">
        <v>164</v>
      </c>
      <c r="AB130" s="3">
        <v>88.0</v>
      </c>
      <c r="AC130" s="3">
        <v>88.0</v>
      </c>
      <c r="AD130" s="7">
        <v>0.1193</v>
      </c>
      <c r="AE130" s="3">
        <v>42.0</v>
      </c>
      <c r="AF130" s="3">
        <v>4.0</v>
      </c>
      <c r="AG130" s="3">
        <v>0.0</v>
      </c>
      <c r="AH130" s="3">
        <v>0.0</v>
      </c>
      <c r="AI130" s="3">
        <v>4.0</v>
      </c>
      <c r="AJ130" s="3">
        <v>0.0</v>
      </c>
      <c r="AK130" s="3">
        <v>4.0</v>
      </c>
    </row>
    <row r="131">
      <c r="A131" s="2" t="s">
        <v>37</v>
      </c>
      <c r="B131" s="3">
        <v>38814.0</v>
      </c>
      <c r="C131" s="3" t="s">
        <v>106</v>
      </c>
      <c r="D131" s="3" t="s">
        <v>38</v>
      </c>
      <c r="E131" s="2" t="s">
        <v>39</v>
      </c>
      <c r="F131" s="3">
        <v>2821.0</v>
      </c>
      <c r="G131" s="2" t="s">
        <v>605</v>
      </c>
      <c r="H131" s="5">
        <v>41929.02217592593</v>
      </c>
      <c r="I131" s="2" t="s">
        <v>606</v>
      </c>
      <c r="J131" s="2" t="s">
        <v>191</v>
      </c>
      <c r="K131" s="6"/>
      <c r="L131" s="6"/>
      <c r="M131" s="6"/>
      <c r="N131" s="6"/>
      <c r="O131" s="2" t="s">
        <v>607</v>
      </c>
      <c r="P131" s="4">
        <v>46084.0</v>
      </c>
      <c r="Q131" s="3" t="s">
        <v>194</v>
      </c>
      <c r="R131" s="3">
        <v>1329.0</v>
      </c>
      <c r="S131" s="2" t="s">
        <v>268</v>
      </c>
      <c r="T131" s="2" t="s">
        <v>110</v>
      </c>
      <c r="U131" s="2" t="s">
        <v>115</v>
      </c>
      <c r="V131" s="2" t="s">
        <v>116</v>
      </c>
      <c r="W131" s="2" t="s">
        <v>51</v>
      </c>
      <c r="X131" s="2" t="s">
        <v>117</v>
      </c>
      <c r="Y131" s="2" t="s">
        <v>188</v>
      </c>
      <c r="Z131" s="3">
        <v>8.0</v>
      </c>
      <c r="AA131" s="2" t="s">
        <v>164</v>
      </c>
      <c r="AB131" s="3">
        <v>26.0</v>
      </c>
      <c r="AC131" s="3">
        <v>26.0</v>
      </c>
      <c r="AD131" s="7">
        <v>1.0</v>
      </c>
      <c r="AE131" s="3">
        <v>104.0</v>
      </c>
      <c r="AF131" s="3">
        <v>4.0</v>
      </c>
      <c r="AG131" s="3">
        <v>0.0</v>
      </c>
      <c r="AH131" s="3">
        <v>4.0</v>
      </c>
      <c r="AI131" s="3">
        <v>0.0</v>
      </c>
      <c r="AJ131" s="3">
        <v>0.0</v>
      </c>
      <c r="AK131" s="3">
        <v>4.0</v>
      </c>
    </row>
    <row r="132">
      <c r="A132" s="2" t="s">
        <v>37</v>
      </c>
      <c r="B132" s="3">
        <v>38820.0</v>
      </c>
      <c r="C132" s="3" t="s">
        <v>106</v>
      </c>
      <c r="D132" s="3" t="s">
        <v>38</v>
      </c>
      <c r="E132" s="2" t="s">
        <v>39</v>
      </c>
      <c r="F132" s="3">
        <v>69742.0</v>
      </c>
      <c r="G132" s="2" t="s">
        <v>608</v>
      </c>
      <c r="H132" s="5">
        <v>45250.185324074075</v>
      </c>
      <c r="I132" s="2" t="s">
        <v>609</v>
      </c>
      <c r="J132" s="2" t="s">
        <v>191</v>
      </c>
      <c r="K132" s="2" t="s">
        <v>110</v>
      </c>
      <c r="L132" s="2" t="s">
        <v>44</v>
      </c>
      <c r="M132" s="2" t="s">
        <v>111</v>
      </c>
      <c r="N132" s="2" t="s">
        <v>157</v>
      </c>
      <c r="O132" s="2" t="s">
        <v>610</v>
      </c>
      <c r="P132" s="4">
        <v>46115.0</v>
      </c>
      <c r="Q132" s="3" t="s">
        <v>194</v>
      </c>
      <c r="R132" s="3">
        <v>1331.0</v>
      </c>
      <c r="S132" s="2" t="s">
        <v>611</v>
      </c>
      <c r="T132" s="2" t="s">
        <v>110</v>
      </c>
      <c r="U132" s="2" t="s">
        <v>115</v>
      </c>
      <c r="V132" s="2" t="s">
        <v>116</v>
      </c>
      <c r="W132" s="2" t="s">
        <v>51</v>
      </c>
      <c r="X132" s="2" t="s">
        <v>117</v>
      </c>
      <c r="Y132" s="2" t="s">
        <v>188</v>
      </c>
      <c r="Z132" s="3">
        <v>8.0</v>
      </c>
      <c r="AA132" s="2" t="s">
        <v>164</v>
      </c>
      <c r="AB132" s="3">
        <v>18.0</v>
      </c>
      <c r="AC132" s="3">
        <v>15.0</v>
      </c>
      <c r="AD132" s="7">
        <v>0.9667</v>
      </c>
      <c r="AE132" s="3">
        <v>58.0</v>
      </c>
      <c r="AF132" s="3">
        <v>4.0</v>
      </c>
      <c r="AG132" s="3">
        <v>0.0</v>
      </c>
      <c r="AH132" s="3">
        <v>4.0</v>
      </c>
      <c r="AI132" s="3">
        <v>0.0</v>
      </c>
      <c r="AJ132" s="3">
        <v>0.0</v>
      </c>
      <c r="AK132" s="3">
        <v>4.0</v>
      </c>
    </row>
    <row r="133">
      <c r="A133" s="2" t="s">
        <v>37</v>
      </c>
      <c r="B133" s="3">
        <v>37055.0</v>
      </c>
      <c r="C133" s="3" t="s">
        <v>196</v>
      </c>
      <c r="D133" s="3" t="s">
        <v>38</v>
      </c>
      <c r="E133" s="2" t="s">
        <v>39</v>
      </c>
      <c r="F133" s="3">
        <v>81538.0</v>
      </c>
      <c r="G133" s="2" t="s">
        <v>612</v>
      </c>
      <c r="H133" s="5">
        <v>45804.82380787037</v>
      </c>
      <c r="I133" s="2" t="s">
        <v>246</v>
      </c>
      <c r="J133" s="2" t="s">
        <v>127</v>
      </c>
      <c r="K133" s="2" t="s">
        <v>128</v>
      </c>
      <c r="L133" s="2" t="s">
        <v>44</v>
      </c>
      <c r="M133" s="2" t="s">
        <v>111</v>
      </c>
      <c r="N133" s="2" t="s">
        <v>167</v>
      </c>
      <c r="O133" s="2" t="s">
        <v>613</v>
      </c>
      <c r="P133" s="4">
        <v>46056.0</v>
      </c>
      <c r="Q133" s="4">
        <v>46298.0</v>
      </c>
      <c r="R133" s="3">
        <v>1695.0</v>
      </c>
      <c r="S133" s="2" t="s">
        <v>294</v>
      </c>
      <c r="T133" s="2" t="s">
        <v>48</v>
      </c>
      <c r="U133" s="2" t="s">
        <v>49</v>
      </c>
      <c r="V133" s="2" t="s">
        <v>50</v>
      </c>
      <c r="W133" s="2" t="s">
        <v>51</v>
      </c>
      <c r="X133" s="2" t="s">
        <v>52</v>
      </c>
      <c r="Y133" s="2" t="s">
        <v>53</v>
      </c>
      <c r="Z133" s="3">
        <v>6.0</v>
      </c>
      <c r="AA133" s="2" t="s">
        <v>318</v>
      </c>
      <c r="AB133" s="3">
        <v>12.0</v>
      </c>
      <c r="AC133" s="3">
        <v>12.0</v>
      </c>
      <c r="AD133" s="7">
        <v>1.0</v>
      </c>
      <c r="AE133" s="3">
        <v>36.0</v>
      </c>
      <c r="AF133" s="3">
        <v>3.0</v>
      </c>
      <c r="AG133" s="3">
        <v>0.0</v>
      </c>
      <c r="AH133" s="3">
        <v>2.0</v>
      </c>
      <c r="AI133" s="3">
        <v>1.0</v>
      </c>
      <c r="AJ133" s="3">
        <v>0.0</v>
      </c>
      <c r="AK133" s="3">
        <v>3.0</v>
      </c>
    </row>
    <row r="134">
      <c r="A134" s="2" t="s">
        <v>37</v>
      </c>
      <c r="B134" s="3">
        <v>39101.0</v>
      </c>
      <c r="C134" s="3" t="s">
        <v>303</v>
      </c>
      <c r="D134" s="3" t="s">
        <v>38</v>
      </c>
      <c r="E134" s="2" t="s">
        <v>39</v>
      </c>
      <c r="F134" s="3">
        <v>82161.0</v>
      </c>
      <c r="G134" s="2" t="s">
        <v>614</v>
      </c>
      <c r="H134" s="5">
        <v>45830.474375</v>
      </c>
      <c r="I134" s="2" t="s">
        <v>442</v>
      </c>
      <c r="J134" s="2" t="s">
        <v>261</v>
      </c>
      <c r="K134" s="2" t="s">
        <v>110</v>
      </c>
      <c r="L134" s="2" t="s">
        <v>44</v>
      </c>
      <c r="M134" s="2" t="s">
        <v>111</v>
      </c>
      <c r="N134" s="2" t="s">
        <v>157</v>
      </c>
      <c r="O134" s="2" t="s">
        <v>615</v>
      </c>
      <c r="P134" s="4">
        <v>46115.0</v>
      </c>
      <c r="Q134" s="3" t="s">
        <v>194</v>
      </c>
      <c r="R134" s="3">
        <v>1703.0</v>
      </c>
      <c r="S134" s="2" t="s">
        <v>307</v>
      </c>
      <c r="T134" s="2" t="s">
        <v>110</v>
      </c>
      <c r="U134" s="2" t="s">
        <v>187</v>
      </c>
      <c r="V134" s="2" t="s">
        <v>116</v>
      </c>
      <c r="W134" s="2" t="s">
        <v>51</v>
      </c>
      <c r="X134" s="2" t="s">
        <v>117</v>
      </c>
      <c r="Y134" s="2" t="s">
        <v>53</v>
      </c>
      <c r="Z134" s="3">
        <v>7.0</v>
      </c>
      <c r="AA134" s="2" t="s">
        <v>54</v>
      </c>
      <c r="AB134" s="3">
        <v>15.0</v>
      </c>
      <c r="AC134" s="3">
        <v>14.0</v>
      </c>
      <c r="AD134" s="7">
        <v>1.0</v>
      </c>
      <c r="AE134" s="3">
        <v>56.0</v>
      </c>
      <c r="AF134" s="3">
        <v>4.0</v>
      </c>
      <c r="AG134" s="3">
        <v>0.0</v>
      </c>
      <c r="AH134" s="3">
        <v>4.0</v>
      </c>
      <c r="AI134" s="3">
        <v>0.0</v>
      </c>
      <c r="AJ134" s="3">
        <v>0.0</v>
      </c>
      <c r="AK134" s="3">
        <v>4.0</v>
      </c>
    </row>
    <row r="135">
      <c r="A135" s="2" t="s">
        <v>37</v>
      </c>
      <c r="B135" s="3">
        <v>39000.0</v>
      </c>
      <c r="C135" s="3" t="s">
        <v>142</v>
      </c>
      <c r="D135" s="5">
        <v>46112.99998842592</v>
      </c>
      <c r="E135" s="2" t="s">
        <v>39</v>
      </c>
      <c r="F135" s="3">
        <v>76666.0</v>
      </c>
      <c r="G135" s="2" t="s">
        <v>616</v>
      </c>
      <c r="H135" s="5">
        <v>45553.528182870374</v>
      </c>
      <c r="I135" s="2" t="s">
        <v>617</v>
      </c>
      <c r="J135" s="2" t="s">
        <v>618</v>
      </c>
      <c r="K135" s="2" t="s">
        <v>65</v>
      </c>
      <c r="L135" s="2" t="s">
        <v>44</v>
      </c>
      <c r="M135" s="2" t="s">
        <v>111</v>
      </c>
      <c r="N135" s="2" t="s">
        <v>619</v>
      </c>
      <c r="O135" s="2" t="s">
        <v>620</v>
      </c>
      <c r="P135" s="4">
        <v>46298.0</v>
      </c>
      <c r="Q135" s="3" t="s">
        <v>92</v>
      </c>
      <c r="R135" s="3">
        <v>2003.0</v>
      </c>
      <c r="S135" s="2" t="s">
        <v>217</v>
      </c>
      <c r="T135" s="2" t="s">
        <v>88</v>
      </c>
      <c r="U135" s="2" t="s">
        <v>149</v>
      </c>
      <c r="V135" s="2" t="s">
        <v>150</v>
      </c>
      <c r="W135" s="2" t="s">
        <v>51</v>
      </c>
      <c r="X135" s="2" t="s">
        <v>96</v>
      </c>
      <c r="Y135" s="2" t="s">
        <v>210</v>
      </c>
      <c r="Z135" s="3">
        <v>6.0</v>
      </c>
      <c r="AA135" s="2" t="s">
        <v>164</v>
      </c>
      <c r="AB135" s="3">
        <v>56.0</v>
      </c>
      <c r="AC135" s="3">
        <v>56.0</v>
      </c>
      <c r="AD135" s="7">
        <v>0.183</v>
      </c>
      <c r="AE135" s="3">
        <v>41.0</v>
      </c>
      <c r="AF135" s="3">
        <v>4.0</v>
      </c>
      <c r="AG135" s="3">
        <v>0.0</v>
      </c>
      <c r="AH135" s="3">
        <v>3.0</v>
      </c>
      <c r="AI135" s="3">
        <v>1.0</v>
      </c>
      <c r="AJ135" s="3">
        <v>0.0</v>
      </c>
      <c r="AK135" s="3">
        <v>4.0</v>
      </c>
    </row>
    <row r="136">
      <c r="A136" s="2" t="s">
        <v>37</v>
      </c>
      <c r="B136" s="3">
        <v>40187.0</v>
      </c>
      <c r="C136" s="3" t="s">
        <v>55</v>
      </c>
      <c r="D136" s="3" t="s">
        <v>38</v>
      </c>
      <c r="E136" s="2" t="s">
        <v>39</v>
      </c>
      <c r="F136" s="3">
        <v>87290.0</v>
      </c>
      <c r="G136" s="2" t="s">
        <v>621</v>
      </c>
      <c r="H136" s="5">
        <v>45996.55416666667</v>
      </c>
      <c r="I136" s="2" t="s">
        <v>57</v>
      </c>
      <c r="J136" s="2" t="s">
        <v>622</v>
      </c>
      <c r="K136" s="2" t="s">
        <v>59</v>
      </c>
      <c r="L136" s="2" t="s">
        <v>44</v>
      </c>
      <c r="M136" s="2" t="s">
        <v>89</v>
      </c>
      <c r="N136" s="2" t="s">
        <v>90</v>
      </c>
      <c r="O136" s="2" t="s">
        <v>623</v>
      </c>
      <c r="P136" s="4">
        <v>46268.0</v>
      </c>
      <c r="Q136" s="3" t="s">
        <v>102</v>
      </c>
      <c r="R136" s="3">
        <v>1784.0</v>
      </c>
      <c r="S136" s="2" t="s">
        <v>103</v>
      </c>
      <c r="T136" s="2" t="s">
        <v>65</v>
      </c>
      <c r="U136" s="2" t="s">
        <v>104</v>
      </c>
      <c r="V136" s="2" t="s">
        <v>67</v>
      </c>
      <c r="W136" s="2" t="s">
        <v>68</v>
      </c>
      <c r="X136" s="2" t="s">
        <v>69</v>
      </c>
      <c r="Y136" s="2" t="s">
        <v>53</v>
      </c>
      <c r="Z136" s="3">
        <v>7.0</v>
      </c>
      <c r="AA136" s="2" t="s">
        <v>134</v>
      </c>
      <c r="AB136" s="3">
        <v>111.0</v>
      </c>
      <c r="AC136" s="3">
        <v>111.0</v>
      </c>
      <c r="AD136" s="7">
        <v>1.0</v>
      </c>
      <c r="AE136" s="3">
        <v>555.0</v>
      </c>
      <c r="AF136" s="3">
        <v>5.0</v>
      </c>
      <c r="AG136" s="3">
        <v>0.0</v>
      </c>
      <c r="AH136" s="3">
        <v>5.0</v>
      </c>
      <c r="AI136" s="3">
        <v>0.0</v>
      </c>
      <c r="AJ136" s="3">
        <v>0.0</v>
      </c>
      <c r="AK136" s="3">
        <v>5.0</v>
      </c>
    </row>
    <row r="137">
      <c r="A137" s="2" t="s">
        <v>37</v>
      </c>
      <c r="B137" s="3">
        <v>37382.0</v>
      </c>
      <c r="C137" s="3" t="s">
        <v>85</v>
      </c>
      <c r="D137" s="3" t="s">
        <v>38</v>
      </c>
      <c r="E137" s="2" t="s">
        <v>39</v>
      </c>
      <c r="F137" s="3">
        <v>80617.0</v>
      </c>
      <c r="G137" s="2" t="s">
        <v>624</v>
      </c>
      <c r="H137" s="5">
        <v>45738.941030092596</v>
      </c>
      <c r="I137" s="2" t="s">
        <v>57</v>
      </c>
      <c r="J137" s="2" t="s">
        <v>351</v>
      </c>
      <c r="K137" s="2" t="s">
        <v>88</v>
      </c>
      <c r="L137" s="2" t="s">
        <v>44</v>
      </c>
      <c r="M137" s="2" t="s">
        <v>89</v>
      </c>
      <c r="N137" s="2" t="s">
        <v>625</v>
      </c>
      <c r="O137" s="2" t="s">
        <v>626</v>
      </c>
      <c r="P137" s="4">
        <v>46298.0</v>
      </c>
      <c r="Q137" s="3" t="s">
        <v>92</v>
      </c>
      <c r="R137" s="3">
        <v>1973.0</v>
      </c>
      <c r="S137" s="2" t="s">
        <v>93</v>
      </c>
      <c r="T137" s="2" t="s">
        <v>88</v>
      </c>
      <c r="U137" s="2" t="s">
        <v>94</v>
      </c>
      <c r="V137" s="2" t="s">
        <v>95</v>
      </c>
      <c r="W137" s="2" t="s">
        <v>51</v>
      </c>
      <c r="X137" s="2" t="s">
        <v>96</v>
      </c>
      <c r="Y137" s="2" t="s">
        <v>53</v>
      </c>
      <c r="Z137" s="3">
        <v>5.0</v>
      </c>
      <c r="AA137" s="2" t="s">
        <v>54</v>
      </c>
      <c r="AB137" s="3">
        <v>61.0</v>
      </c>
      <c r="AC137" s="3">
        <v>61.0</v>
      </c>
      <c r="AD137" s="7">
        <v>0.5369</v>
      </c>
      <c r="AE137" s="3">
        <v>131.0</v>
      </c>
      <c r="AF137" s="3">
        <v>4.0</v>
      </c>
      <c r="AG137" s="3">
        <v>0.0</v>
      </c>
      <c r="AH137" s="3">
        <v>3.0</v>
      </c>
      <c r="AI137" s="3">
        <v>1.0</v>
      </c>
      <c r="AJ137" s="3">
        <v>0.0</v>
      </c>
      <c r="AK137" s="3">
        <v>4.0</v>
      </c>
    </row>
    <row r="138">
      <c r="A138" s="2" t="s">
        <v>37</v>
      </c>
      <c r="B138" s="3">
        <v>39588.0</v>
      </c>
      <c r="C138" s="4">
        <v>45667.0</v>
      </c>
      <c r="D138" s="5">
        <v>46112.99998842592</v>
      </c>
      <c r="E138" s="2" t="s">
        <v>39</v>
      </c>
      <c r="F138" s="3">
        <v>45439.0</v>
      </c>
      <c r="G138" s="2" t="s">
        <v>627</v>
      </c>
      <c r="H138" s="5">
        <v>44214.85804398148</v>
      </c>
      <c r="I138" s="2" t="s">
        <v>57</v>
      </c>
      <c r="J138" s="2" t="s">
        <v>351</v>
      </c>
      <c r="K138" s="2" t="s">
        <v>88</v>
      </c>
      <c r="L138" s="2" t="s">
        <v>44</v>
      </c>
      <c r="M138" s="2" t="s">
        <v>100</v>
      </c>
      <c r="N138" s="2" t="s">
        <v>100</v>
      </c>
      <c r="O138" s="2" t="s">
        <v>628</v>
      </c>
      <c r="P138" s="4">
        <v>46329.0</v>
      </c>
      <c r="Q138" s="3" t="s">
        <v>147</v>
      </c>
      <c r="R138" s="3">
        <v>2000.0</v>
      </c>
      <c r="S138" s="2" t="s">
        <v>321</v>
      </c>
      <c r="T138" s="2" t="s">
        <v>88</v>
      </c>
      <c r="U138" s="2" t="s">
        <v>149</v>
      </c>
      <c r="V138" s="2" t="s">
        <v>150</v>
      </c>
      <c r="W138" s="2" t="s">
        <v>51</v>
      </c>
      <c r="X138" s="2" t="s">
        <v>96</v>
      </c>
      <c r="Y138" s="2" t="s">
        <v>53</v>
      </c>
      <c r="Z138" s="3">
        <v>8.0</v>
      </c>
      <c r="AA138" s="2" t="s">
        <v>54</v>
      </c>
      <c r="AB138" s="3">
        <v>30.0</v>
      </c>
      <c r="AC138" s="3">
        <v>30.0</v>
      </c>
      <c r="AD138" s="7">
        <v>0.55</v>
      </c>
      <c r="AE138" s="3">
        <v>66.0</v>
      </c>
      <c r="AF138" s="3">
        <v>4.0</v>
      </c>
      <c r="AG138" s="3">
        <v>0.0</v>
      </c>
      <c r="AH138" s="3">
        <v>3.0</v>
      </c>
      <c r="AI138" s="3">
        <v>1.0</v>
      </c>
      <c r="AJ138" s="3">
        <v>0.0</v>
      </c>
      <c r="AK138" s="3">
        <v>4.0</v>
      </c>
    </row>
    <row r="139">
      <c r="A139" s="2" t="s">
        <v>37</v>
      </c>
      <c r="B139" s="3">
        <v>38956.0</v>
      </c>
      <c r="C139" s="4">
        <v>45661.0</v>
      </c>
      <c r="D139" s="5">
        <v>46112.99998842592</v>
      </c>
      <c r="E139" s="2" t="s">
        <v>39</v>
      </c>
      <c r="F139" s="3">
        <v>85477.0</v>
      </c>
      <c r="G139" s="2" t="s">
        <v>629</v>
      </c>
      <c r="H139" s="5">
        <v>45901.76394675926</v>
      </c>
      <c r="I139" s="2" t="s">
        <v>57</v>
      </c>
      <c r="J139" s="2" t="s">
        <v>42</v>
      </c>
      <c r="K139" s="2" t="s">
        <v>43</v>
      </c>
      <c r="L139" s="2" t="s">
        <v>44</v>
      </c>
      <c r="M139" s="2" t="s">
        <v>89</v>
      </c>
      <c r="N139" s="2" t="s">
        <v>630</v>
      </c>
      <c r="O139" s="2" t="s">
        <v>631</v>
      </c>
      <c r="P139" s="4">
        <v>46268.0</v>
      </c>
      <c r="Q139" s="3" t="s">
        <v>147</v>
      </c>
      <c r="R139" s="3">
        <v>1998.0</v>
      </c>
      <c r="S139" s="2" t="s">
        <v>583</v>
      </c>
      <c r="T139" s="2" t="s">
        <v>88</v>
      </c>
      <c r="U139" s="2" t="s">
        <v>149</v>
      </c>
      <c r="V139" s="2" t="s">
        <v>150</v>
      </c>
      <c r="W139" s="2" t="s">
        <v>51</v>
      </c>
      <c r="X139" s="2" t="s">
        <v>96</v>
      </c>
      <c r="Y139" s="2" t="s">
        <v>53</v>
      </c>
      <c r="Z139" s="3">
        <v>6.0</v>
      </c>
      <c r="AA139" s="2" t="s">
        <v>54</v>
      </c>
      <c r="AB139" s="3">
        <v>16.0</v>
      </c>
      <c r="AC139" s="3">
        <v>15.0</v>
      </c>
      <c r="AD139" s="7">
        <v>0.7333</v>
      </c>
      <c r="AE139" s="3">
        <v>66.0</v>
      </c>
      <c r="AF139" s="3">
        <v>6.0</v>
      </c>
      <c r="AG139" s="3">
        <v>0.0</v>
      </c>
      <c r="AH139" s="3">
        <v>4.0</v>
      </c>
      <c r="AI139" s="3">
        <v>2.0</v>
      </c>
      <c r="AJ139" s="3">
        <v>0.0</v>
      </c>
      <c r="AK139" s="3">
        <v>6.0</v>
      </c>
    </row>
    <row r="140">
      <c r="A140" s="2" t="s">
        <v>37</v>
      </c>
      <c r="B140" s="3">
        <v>39004.0</v>
      </c>
      <c r="C140" s="3" t="s">
        <v>142</v>
      </c>
      <c r="D140" s="5">
        <v>46112.99998842592</v>
      </c>
      <c r="E140" s="2" t="s">
        <v>39</v>
      </c>
      <c r="F140" s="3">
        <v>85477.0</v>
      </c>
      <c r="G140" s="2" t="s">
        <v>629</v>
      </c>
      <c r="H140" s="5">
        <v>45901.76394675926</v>
      </c>
      <c r="I140" s="2" t="s">
        <v>57</v>
      </c>
      <c r="J140" s="2" t="s">
        <v>42</v>
      </c>
      <c r="K140" s="2" t="s">
        <v>43</v>
      </c>
      <c r="L140" s="2" t="s">
        <v>44</v>
      </c>
      <c r="M140" s="2" t="s">
        <v>89</v>
      </c>
      <c r="N140" s="2" t="s">
        <v>630</v>
      </c>
      <c r="O140" s="2" t="s">
        <v>631</v>
      </c>
      <c r="P140" s="4">
        <v>46268.0</v>
      </c>
      <c r="Q140" s="3" t="s">
        <v>208</v>
      </c>
      <c r="R140" s="3">
        <v>1999.0</v>
      </c>
      <c r="S140" s="2" t="s">
        <v>510</v>
      </c>
      <c r="T140" s="2" t="s">
        <v>88</v>
      </c>
      <c r="U140" s="2" t="s">
        <v>149</v>
      </c>
      <c r="V140" s="2" t="s">
        <v>150</v>
      </c>
      <c r="W140" s="2" t="s">
        <v>51</v>
      </c>
      <c r="X140" s="2" t="s">
        <v>96</v>
      </c>
      <c r="Y140" s="2" t="s">
        <v>53</v>
      </c>
      <c r="Z140" s="3">
        <v>8.0</v>
      </c>
      <c r="AA140" s="2" t="s">
        <v>54</v>
      </c>
      <c r="AB140" s="3">
        <v>16.0</v>
      </c>
      <c r="AC140" s="3">
        <v>16.0</v>
      </c>
      <c r="AD140" s="7">
        <v>0.7813</v>
      </c>
      <c r="AE140" s="3">
        <v>50.0</v>
      </c>
      <c r="AF140" s="3">
        <v>4.0</v>
      </c>
      <c r="AG140" s="3">
        <v>0.0</v>
      </c>
      <c r="AH140" s="3">
        <v>4.0</v>
      </c>
      <c r="AI140" s="3">
        <v>0.0</v>
      </c>
      <c r="AJ140" s="3">
        <v>0.0</v>
      </c>
      <c r="AK140" s="3">
        <v>4.0</v>
      </c>
    </row>
    <row r="141">
      <c r="A141" s="2" t="s">
        <v>37</v>
      </c>
      <c r="B141" s="3">
        <v>38948.0</v>
      </c>
      <c r="C141" s="4">
        <v>45666.0</v>
      </c>
      <c r="D141" s="3" t="s">
        <v>38</v>
      </c>
      <c r="E141" s="2" t="s">
        <v>72</v>
      </c>
      <c r="F141" s="3">
        <v>40430.0</v>
      </c>
      <c r="G141" s="2" t="s">
        <v>632</v>
      </c>
      <c r="H141" s="5">
        <v>44056.038611111115</v>
      </c>
      <c r="I141" s="2" t="s">
        <v>388</v>
      </c>
      <c r="J141" s="2" t="s">
        <v>42</v>
      </c>
      <c r="K141" s="2" t="s">
        <v>43</v>
      </c>
      <c r="L141" s="2" t="s">
        <v>44</v>
      </c>
      <c r="M141" s="2" t="s">
        <v>389</v>
      </c>
      <c r="N141" s="2" t="s">
        <v>633</v>
      </c>
      <c r="O141" s="2" t="s">
        <v>634</v>
      </c>
      <c r="P141" s="4">
        <v>46176.0</v>
      </c>
      <c r="Q141" s="4">
        <v>46176.0</v>
      </c>
      <c r="R141" s="3">
        <v>1765.0</v>
      </c>
      <c r="S141" s="2" t="s">
        <v>415</v>
      </c>
      <c r="T141" s="2" t="s">
        <v>81</v>
      </c>
      <c r="U141" s="2" t="s">
        <v>416</v>
      </c>
      <c r="V141" s="2" t="s">
        <v>83</v>
      </c>
      <c r="W141" s="2" t="s">
        <v>68</v>
      </c>
      <c r="X141" s="2" t="s">
        <v>69</v>
      </c>
      <c r="Y141" s="2" t="s">
        <v>53</v>
      </c>
      <c r="Z141" s="3">
        <v>9.0</v>
      </c>
      <c r="AA141" s="2" t="s">
        <v>125</v>
      </c>
      <c r="AB141" s="3">
        <v>29.0</v>
      </c>
      <c r="AC141" s="3">
        <v>29.0</v>
      </c>
      <c r="AD141" s="7">
        <v>1.0</v>
      </c>
      <c r="AE141" s="3">
        <v>29.0</v>
      </c>
      <c r="AF141" s="3">
        <v>1.0</v>
      </c>
      <c r="AG141" s="3">
        <v>0.0</v>
      </c>
      <c r="AH141" s="3">
        <v>1.0</v>
      </c>
      <c r="AI141" s="3">
        <v>0.0</v>
      </c>
      <c r="AJ141" s="3">
        <v>0.0</v>
      </c>
      <c r="AK141" s="3">
        <v>1.0</v>
      </c>
    </row>
    <row r="142">
      <c r="A142" s="2" t="s">
        <v>37</v>
      </c>
      <c r="B142" s="3">
        <v>38959.0</v>
      </c>
      <c r="C142" s="4">
        <v>45661.0</v>
      </c>
      <c r="D142" s="5">
        <v>46112.99998842592</v>
      </c>
      <c r="E142" s="2" t="s">
        <v>39</v>
      </c>
      <c r="F142" s="3">
        <v>75958.0</v>
      </c>
      <c r="G142" s="2" t="s">
        <v>635</v>
      </c>
      <c r="H142" s="5">
        <v>45526.71193287037</v>
      </c>
      <c r="I142" s="2" t="s">
        <v>467</v>
      </c>
      <c r="J142" s="2" t="s">
        <v>275</v>
      </c>
      <c r="K142" s="2" t="s">
        <v>59</v>
      </c>
      <c r="L142" s="2" t="s">
        <v>44</v>
      </c>
      <c r="M142" s="2" t="s">
        <v>111</v>
      </c>
      <c r="N142" s="2" t="s">
        <v>157</v>
      </c>
      <c r="O142" s="2" t="s">
        <v>636</v>
      </c>
      <c r="P142" s="4">
        <v>46268.0</v>
      </c>
      <c r="Q142" s="3" t="s">
        <v>208</v>
      </c>
      <c r="R142" s="3">
        <v>1998.0</v>
      </c>
      <c r="S142" s="2" t="s">
        <v>583</v>
      </c>
      <c r="T142" s="2" t="s">
        <v>88</v>
      </c>
      <c r="U142" s="2" t="s">
        <v>149</v>
      </c>
      <c r="V142" s="2" t="s">
        <v>150</v>
      </c>
      <c r="W142" s="2" t="s">
        <v>51</v>
      </c>
      <c r="X142" s="2" t="s">
        <v>96</v>
      </c>
      <c r="Y142" s="2" t="s">
        <v>210</v>
      </c>
      <c r="Z142" s="3">
        <v>7.0</v>
      </c>
      <c r="AA142" s="2" t="s">
        <v>164</v>
      </c>
      <c r="AB142" s="3">
        <v>27.0</v>
      </c>
      <c r="AC142" s="3">
        <v>27.0</v>
      </c>
      <c r="AD142" s="7">
        <v>0.6074</v>
      </c>
      <c r="AE142" s="3">
        <v>82.0</v>
      </c>
      <c r="AF142" s="3">
        <v>5.0</v>
      </c>
      <c r="AG142" s="3">
        <v>0.0</v>
      </c>
      <c r="AH142" s="3">
        <v>0.0</v>
      </c>
      <c r="AI142" s="3">
        <v>5.0</v>
      </c>
      <c r="AJ142" s="3">
        <v>0.0</v>
      </c>
      <c r="AK142" s="3">
        <v>5.0</v>
      </c>
    </row>
    <row r="143">
      <c r="A143" s="2" t="s">
        <v>37</v>
      </c>
      <c r="B143" s="3">
        <v>39582.0</v>
      </c>
      <c r="C143" s="3" t="s">
        <v>637</v>
      </c>
      <c r="D143" s="3" t="s">
        <v>38</v>
      </c>
      <c r="E143" s="2" t="s">
        <v>39</v>
      </c>
      <c r="F143" s="3">
        <v>84957.0</v>
      </c>
      <c r="G143" s="2" t="s">
        <v>638</v>
      </c>
      <c r="H143" s="5">
        <v>45888.658171296294</v>
      </c>
      <c r="I143" s="2" t="s">
        <v>246</v>
      </c>
      <c r="J143" s="2" t="s">
        <v>127</v>
      </c>
      <c r="K143" s="2" t="s">
        <v>128</v>
      </c>
      <c r="L143" s="2" t="s">
        <v>44</v>
      </c>
      <c r="M143" s="2" t="s">
        <v>111</v>
      </c>
      <c r="N143" s="2" t="s">
        <v>639</v>
      </c>
      <c r="O143" s="2" t="s">
        <v>640</v>
      </c>
      <c r="P143" s="4">
        <v>46145.0</v>
      </c>
      <c r="Q143" s="3" t="s">
        <v>194</v>
      </c>
      <c r="R143" s="3">
        <v>1697.0</v>
      </c>
      <c r="S143" s="2" t="s">
        <v>338</v>
      </c>
      <c r="T143" s="2" t="s">
        <v>48</v>
      </c>
      <c r="U143" s="2" t="s">
        <v>49</v>
      </c>
      <c r="V143" s="2" t="s">
        <v>50</v>
      </c>
      <c r="W143" s="2" t="s">
        <v>51</v>
      </c>
      <c r="X143" s="2" t="s">
        <v>52</v>
      </c>
      <c r="Y143" s="2" t="s">
        <v>53</v>
      </c>
      <c r="Z143" s="3">
        <v>6.0</v>
      </c>
      <c r="AA143" s="2" t="s">
        <v>641</v>
      </c>
      <c r="AB143" s="3">
        <v>17.0</v>
      </c>
      <c r="AC143" s="3">
        <v>13.0</v>
      </c>
      <c r="AD143" s="7">
        <v>0.8269</v>
      </c>
      <c r="AE143" s="3">
        <v>43.0</v>
      </c>
      <c r="AF143" s="3">
        <v>4.0</v>
      </c>
      <c r="AG143" s="3">
        <v>0.0</v>
      </c>
      <c r="AH143" s="3">
        <v>2.0</v>
      </c>
      <c r="AI143" s="3">
        <v>2.0</v>
      </c>
      <c r="AJ143" s="3">
        <v>0.0</v>
      </c>
      <c r="AK143" s="3">
        <v>4.0</v>
      </c>
    </row>
    <row r="144">
      <c r="A144" s="2" t="s">
        <v>37</v>
      </c>
      <c r="B144" s="3">
        <v>37050.0</v>
      </c>
      <c r="C144" s="3" t="s">
        <v>196</v>
      </c>
      <c r="D144" s="3" t="s">
        <v>38</v>
      </c>
      <c r="E144" s="2" t="s">
        <v>39</v>
      </c>
      <c r="F144" s="3">
        <v>69151.0</v>
      </c>
      <c r="G144" s="2" t="s">
        <v>642</v>
      </c>
      <c r="H144" s="5">
        <v>45221.30174768518</v>
      </c>
      <c r="I144" s="2" t="s">
        <v>57</v>
      </c>
      <c r="J144" s="2" t="s">
        <v>275</v>
      </c>
      <c r="K144" s="2" t="s">
        <v>59</v>
      </c>
      <c r="L144" s="2" t="s">
        <v>44</v>
      </c>
      <c r="M144" s="2" t="s">
        <v>111</v>
      </c>
      <c r="N144" s="2" t="s">
        <v>643</v>
      </c>
      <c r="O144" s="2" t="s">
        <v>644</v>
      </c>
      <c r="P144" s="4">
        <v>46176.0</v>
      </c>
      <c r="Q144" s="3" t="s">
        <v>194</v>
      </c>
      <c r="R144" s="3">
        <v>1711.0</v>
      </c>
      <c r="S144" s="2" t="s">
        <v>344</v>
      </c>
      <c r="T144" s="2" t="s">
        <v>48</v>
      </c>
      <c r="U144" s="2" t="s">
        <v>49</v>
      </c>
      <c r="V144" s="2" t="s">
        <v>50</v>
      </c>
      <c r="W144" s="2" t="s">
        <v>51</v>
      </c>
      <c r="X144" s="2" t="s">
        <v>52</v>
      </c>
      <c r="Y144" s="2" t="s">
        <v>53</v>
      </c>
      <c r="Z144" s="3">
        <v>6.0</v>
      </c>
      <c r="AA144" s="2" t="s">
        <v>164</v>
      </c>
      <c r="AB144" s="3">
        <v>16.0</v>
      </c>
      <c r="AC144" s="3">
        <v>16.0</v>
      </c>
      <c r="AD144" s="7">
        <v>0.9583</v>
      </c>
      <c r="AE144" s="3">
        <v>46.0</v>
      </c>
      <c r="AF144" s="3">
        <v>3.0</v>
      </c>
      <c r="AG144" s="3">
        <v>0.0</v>
      </c>
      <c r="AH144" s="3">
        <v>1.0</v>
      </c>
      <c r="AI144" s="3">
        <v>2.0</v>
      </c>
      <c r="AJ144" s="3">
        <v>0.0</v>
      </c>
      <c r="AK144" s="3">
        <v>3.0</v>
      </c>
    </row>
    <row r="145">
      <c r="A145" s="2" t="s">
        <v>37</v>
      </c>
      <c r="B145" s="3">
        <v>37026.0</v>
      </c>
      <c r="C145" s="3" t="s">
        <v>645</v>
      </c>
      <c r="D145" s="3" t="s">
        <v>38</v>
      </c>
      <c r="E145" s="2" t="s">
        <v>39</v>
      </c>
      <c r="F145" s="3">
        <v>54614.0</v>
      </c>
      <c r="G145" s="2" t="s">
        <v>646</v>
      </c>
      <c r="H145" s="5">
        <v>44532.2530787037</v>
      </c>
      <c r="I145" s="2" t="s">
        <v>647</v>
      </c>
      <c r="J145" s="2" t="s">
        <v>191</v>
      </c>
      <c r="K145" s="2" t="s">
        <v>110</v>
      </c>
      <c r="L145" s="2" t="s">
        <v>44</v>
      </c>
      <c r="M145" s="6"/>
      <c r="N145" s="6"/>
      <c r="O145" s="2" t="s">
        <v>648</v>
      </c>
      <c r="P145" s="4">
        <v>46176.0</v>
      </c>
      <c r="Q145" s="3" t="s">
        <v>194</v>
      </c>
      <c r="R145" s="3">
        <v>1699.0</v>
      </c>
      <c r="S145" s="2" t="s">
        <v>343</v>
      </c>
      <c r="T145" s="2" t="s">
        <v>48</v>
      </c>
      <c r="U145" s="2" t="s">
        <v>49</v>
      </c>
      <c r="V145" s="2" t="s">
        <v>50</v>
      </c>
      <c r="W145" s="2" t="s">
        <v>51</v>
      </c>
      <c r="X145" s="2" t="s">
        <v>52</v>
      </c>
      <c r="Y145" s="2" t="s">
        <v>53</v>
      </c>
      <c r="Z145" s="3">
        <v>7.0</v>
      </c>
      <c r="AA145" s="2" t="s">
        <v>164</v>
      </c>
      <c r="AB145" s="3">
        <v>33.0</v>
      </c>
      <c r="AC145" s="3">
        <v>33.0</v>
      </c>
      <c r="AD145" s="7">
        <v>0.9798</v>
      </c>
      <c r="AE145" s="3">
        <v>97.0</v>
      </c>
      <c r="AF145" s="3">
        <v>3.0</v>
      </c>
      <c r="AG145" s="3">
        <v>0.0</v>
      </c>
      <c r="AH145" s="3">
        <v>3.0</v>
      </c>
      <c r="AI145" s="3">
        <v>0.0</v>
      </c>
      <c r="AJ145" s="3">
        <v>0.0</v>
      </c>
      <c r="AK145" s="3">
        <v>3.0</v>
      </c>
    </row>
    <row r="146">
      <c r="A146" s="2" t="s">
        <v>37</v>
      </c>
      <c r="B146" s="3">
        <v>38839.0</v>
      </c>
      <c r="C146" s="3" t="s">
        <v>106</v>
      </c>
      <c r="D146" s="3" t="s">
        <v>38</v>
      </c>
      <c r="E146" s="2" t="s">
        <v>39</v>
      </c>
      <c r="F146" s="3">
        <v>83309.0</v>
      </c>
      <c r="G146" s="2" t="s">
        <v>649</v>
      </c>
      <c r="H146" s="5">
        <v>45853.64679398148</v>
      </c>
      <c r="I146" s="2" t="s">
        <v>108</v>
      </c>
      <c r="J146" s="2" t="s">
        <v>191</v>
      </c>
      <c r="K146" s="2" t="s">
        <v>110</v>
      </c>
      <c r="L146" s="2" t="s">
        <v>44</v>
      </c>
      <c r="M146" s="2" t="s">
        <v>111</v>
      </c>
      <c r="N146" s="2" t="s">
        <v>650</v>
      </c>
      <c r="O146" s="2" t="s">
        <v>651</v>
      </c>
      <c r="P146" s="4">
        <v>46084.0</v>
      </c>
      <c r="Q146" s="4">
        <v>46329.0</v>
      </c>
      <c r="R146" s="3">
        <v>1337.0</v>
      </c>
      <c r="S146" s="2" t="s">
        <v>652</v>
      </c>
      <c r="T146" s="2" t="s">
        <v>110</v>
      </c>
      <c r="U146" s="2" t="s">
        <v>115</v>
      </c>
      <c r="V146" s="2" t="s">
        <v>116</v>
      </c>
      <c r="W146" s="2" t="s">
        <v>51</v>
      </c>
      <c r="X146" s="2" t="s">
        <v>117</v>
      </c>
      <c r="Y146" s="2" t="s">
        <v>53</v>
      </c>
      <c r="Z146" s="3">
        <v>8.0</v>
      </c>
      <c r="AA146" s="2" t="s">
        <v>54</v>
      </c>
      <c r="AB146" s="3">
        <v>45.0</v>
      </c>
      <c r="AC146" s="3">
        <v>45.0</v>
      </c>
      <c r="AD146" s="7">
        <v>0.9</v>
      </c>
      <c r="AE146" s="3">
        <v>162.0</v>
      </c>
      <c r="AF146" s="3">
        <v>4.0</v>
      </c>
      <c r="AG146" s="3">
        <v>0.0</v>
      </c>
      <c r="AH146" s="3">
        <v>4.0</v>
      </c>
      <c r="AI146" s="3">
        <v>0.0</v>
      </c>
      <c r="AJ146" s="3">
        <v>0.0</v>
      </c>
      <c r="AK146" s="3">
        <v>4.0</v>
      </c>
    </row>
    <row r="147">
      <c r="A147" s="2" t="s">
        <v>37</v>
      </c>
      <c r="B147" s="3">
        <v>40052.0</v>
      </c>
      <c r="C147" s="4">
        <v>46357.0</v>
      </c>
      <c r="D147" s="3" t="s">
        <v>38</v>
      </c>
      <c r="E147" s="2" t="s">
        <v>72</v>
      </c>
      <c r="F147" s="3">
        <v>87093.0</v>
      </c>
      <c r="G147" s="2" t="s">
        <v>653</v>
      </c>
      <c r="H147" s="5">
        <v>45988.706770833334</v>
      </c>
      <c r="I147" s="2" t="s">
        <v>57</v>
      </c>
      <c r="J147" s="2" t="s">
        <v>42</v>
      </c>
      <c r="K147" s="2" t="s">
        <v>43</v>
      </c>
      <c r="L147" s="2" t="s">
        <v>44</v>
      </c>
      <c r="M147" s="2" t="s">
        <v>183</v>
      </c>
      <c r="N147" s="2" t="s">
        <v>129</v>
      </c>
      <c r="O147" s="2" t="s">
        <v>654</v>
      </c>
      <c r="P147" s="4">
        <v>46056.0</v>
      </c>
      <c r="Q147" s="4">
        <v>46298.0</v>
      </c>
      <c r="R147" s="3">
        <v>2050.0</v>
      </c>
      <c r="S147" s="2" t="s">
        <v>655</v>
      </c>
      <c r="T147" s="2" t="s">
        <v>128</v>
      </c>
      <c r="U147" s="2" t="s">
        <v>316</v>
      </c>
      <c r="V147" s="2" t="s">
        <v>317</v>
      </c>
      <c r="W147" s="2" t="s">
        <v>51</v>
      </c>
      <c r="X147" s="2" t="s">
        <v>52</v>
      </c>
      <c r="Y147" s="2" t="s">
        <v>53</v>
      </c>
      <c r="Z147" s="3">
        <v>7.0</v>
      </c>
      <c r="AA147" s="2" t="s">
        <v>54</v>
      </c>
      <c r="AB147" s="3">
        <v>49.0</v>
      </c>
      <c r="AC147" s="3">
        <v>49.0</v>
      </c>
      <c r="AD147" s="7">
        <v>0.8827</v>
      </c>
      <c r="AE147" s="3">
        <v>173.0</v>
      </c>
      <c r="AF147" s="3">
        <v>4.0</v>
      </c>
      <c r="AG147" s="3">
        <v>0.0</v>
      </c>
      <c r="AH147" s="3">
        <v>2.0</v>
      </c>
      <c r="AI147" s="3">
        <v>2.0</v>
      </c>
      <c r="AJ147" s="3">
        <v>0.0</v>
      </c>
      <c r="AK147" s="3">
        <v>4.0</v>
      </c>
    </row>
    <row r="148">
      <c r="A148" s="2" t="s">
        <v>37</v>
      </c>
      <c r="B148" s="3">
        <v>39010.0</v>
      </c>
      <c r="C148" s="3" t="s">
        <v>142</v>
      </c>
      <c r="D148" s="5">
        <v>46112.99998842592</v>
      </c>
      <c r="E148" s="2" t="s">
        <v>39</v>
      </c>
      <c r="F148" s="3">
        <v>87453.0</v>
      </c>
      <c r="G148" s="2" t="s">
        <v>656</v>
      </c>
      <c r="H148" s="5">
        <v>46002.71418981482</v>
      </c>
      <c r="I148" s="2" t="s">
        <v>57</v>
      </c>
      <c r="J148" s="2" t="s">
        <v>204</v>
      </c>
      <c r="K148" s="2" t="s">
        <v>88</v>
      </c>
      <c r="L148" s="2" t="s">
        <v>44</v>
      </c>
      <c r="M148" s="2" t="s">
        <v>60</v>
      </c>
      <c r="N148" s="2" t="s">
        <v>657</v>
      </c>
      <c r="O148" s="2" t="s">
        <v>658</v>
      </c>
      <c r="P148" s="4">
        <v>46298.0</v>
      </c>
      <c r="Q148" s="3" t="s">
        <v>92</v>
      </c>
      <c r="R148" s="3">
        <v>2001.0</v>
      </c>
      <c r="S148" s="2" t="s">
        <v>209</v>
      </c>
      <c r="T148" s="2" t="s">
        <v>88</v>
      </c>
      <c r="U148" s="2" t="s">
        <v>149</v>
      </c>
      <c r="V148" s="2" t="s">
        <v>150</v>
      </c>
      <c r="W148" s="2" t="s">
        <v>51</v>
      </c>
      <c r="X148" s="2" t="s">
        <v>96</v>
      </c>
      <c r="Y148" s="2" t="s">
        <v>210</v>
      </c>
      <c r="Z148" s="3">
        <v>6.0</v>
      </c>
      <c r="AA148" s="2" t="s">
        <v>164</v>
      </c>
      <c r="AB148" s="3">
        <v>31.0</v>
      </c>
      <c r="AC148" s="3">
        <v>31.0</v>
      </c>
      <c r="AD148" s="7">
        <v>0.6694</v>
      </c>
      <c r="AE148" s="3">
        <v>83.0</v>
      </c>
      <c r="AF148" s="3">
        <v>4.0</v>
      </c>
      <c r="AG148" s="3">
        <v>0.0</v>
      </c>
      <c r="AH148" s="3">
        <v>0.0</v>
      </c>
      <c r="AI148" s="3">
        <v>4.0</v>
      </c>
      <c r="AJ148" s="3">
        <v>0.0</v>
      </c>
      <c r="AK148" s="3">
        <v>4.0</v>
      </c>
    </row>
    <row r="149">
      <c r="A149" s="2" t="s">
        <v>37</v>
      </c>
      <c r="B149" s="3">
        <v>39005.0</v>
      </c>
      <c r="C149" s="3" t="s">
        <v>142</v>
      </c>
      <c r="D149" s="5">
        <v>46112.99998842592</v>
      </c>
      <c r="E149" s="2" t="s">
        <v>39</v>
      </c>
      <c r="F149" s="3">
        <v>85146.0</v>
      </c>
      <c r="G149" s="2" t="s">
        <v>659</v>
      </c>
      <c r="H149" s="5">
        <v>45890.97759259259</v>
      </c>
      <c r="I149" s="2" t="s">
        <v>57</v>
      </c>
      <c r="J149" s="2" t="s">
        <v>275</v>
      </c>
      <c r="K149" s="2" t="s">
        <v>59</v>
      </c>
      <c r="L149" s="2" t="s">
        <v>44</v>
      </c>
      <c r="M149" s="2" t="s">
        <v>60</v>
      </c>
      <c r="N149" s="2" t="s">
        <v>61</v>
      </c>
      <c r="O149" s="2" t="s">
        <v>660</v>
      </c>
      <c r="P149" s="4">
        <v>46298.0</v>
      </c>
      <c r="Q149" s="3" t="s">
        <v>92</v>
      </c>
      <c r="R149" s="3">
        <v>1999.0</v>
      </c>
      <c r="S149" s="2" t="s">
        <v>510</v>
      </c>
      <c r="T149" s="2" t="s">
        <v>88</v>
      </c>
      <c r="U149" s="2" t="s">
        <v>149</v>
      </c>
      <c r="V149" s="2" t="s">
        <v>150</v>
      </c>
      <c r="W149" s="2" t="s">
        <v>51</v>
      </c>
      <c r="X149" s="2" t="s">
        <v>96</v>
      </c>
      <c r="Y149" s="2" t="s">
        <v>210</v>
      </c>
      <c r="Z149" s="3">
        <v>7.0</v>
      </c>
      <c r="AA149" s="2" t="s">
        <v>164</v>
      </c>
      <c r="AB149" s="3">
        <v>23.0</v>
      </c>
      <c r="AC149" s="3">
        <v>23.0</v>
      </c>
      <c r="AD149" s="7">
        <v>0.9913</v>
      </c>
      <c r="AE149" s="3">
        <v>114.0</v>
      </c>
      <c r="AF149" s="3">
        <v>5.0</v>
      </c>
      <c r="AG149" s="3">
        <v>0.0</v>
      </c>
      <c r="AH149" s="3">
        <v>1.0</v>
      </c>
      <c r="AI149" s="3">
        <v>4.0</v>
      </c>
      <c r="AJ149" s="3">
        <v>0.0</v>
      </c>
      <c r="AK149" s="3">
        <v>5.0</v>
      </c>
    </row>
    <row r="150">
      <c r="A150" s="2" t="s">
        <v>37</v>
      </c>
      <c r="B150" s="3">
        <v>36798.0</v>
      </c>
      <c r="C150" s="3" t="s">
        <v>71</v>
      </c>
      <c r="D150" s="3" t="s">
        <v>38</v>
      </c>
      <c r="E150" s="2" t="s">
        <v>72</v>
      </c>
      <c r="F150" s="3">
        <v>72424.0</v>
      </c>
      <c r="G150" s="2" t="s">
        <v>661</v>
      </c>
      <c r="H150" s="5">
        <v>45416.72546296296</v>
      </c>
      <c r="I150" s="2" t="s">
        <v>57</v>
      </c>
      <c r="J150" s="2" t="s">
        <v>662</v>
      </c>
      <c r="K150" s="2" t="s">
        <v>663</v>
      </c>
      <c r="L150" s="2" t="s">
        <v>44</v>
      </c>
      <c r="M150" s="2" t="s">
        <v>205</v>
      </c>
      <c r="N150" s="2" t="s">
        <v>664</v>
      </c>
      <c r="O150" s="2" t="s">
        <v>665</v>
      </c>
      <c r="P150" s="4">
        <v>46084.0</v>
      </c>
      <c r="Q150" s="4">
        <v>46145.0</v>
      </c>
      <c r="R150" s="3">
        <v>1763.0</v>
      </c>
      <c r="S150" s="2" t="s">
        <v>325</v>
      </c>
      <c r="T150" s="2" t="s">
        <v>81</v>
      </c>
      <c r="U150" s="2" t="s">
        <v>140</v>
      </c>
      <c r="V150" s="2" t="s">
        <v>83</v>
      </c>
      <c r="W150" s="2" t="s">
        <v>68</v>
      </c>
      <c r="X150" s="2" t="s">
        <v>69</v>
      </c>
      <c r="Y150" s="2" t="s">
        <v>53</v>
      </c>
      <c r="Z150" s="3">
        <v>8.0</v>
      </c>
      <c r="AA150" s="2" t="s">
        <v>141</v>
      </c>
      <c r="AB150" s="3">
        <v>21.0</v>
      </c>
      <c r="AC150" s="3">
        <v>21.0</v>
      </c>
      <c r="AD150" s="7">
        <v>0.9524</v>
      </c>
      <c r="AE150" s="3">
        <v>40.0</v>
      </c>
      <c r="AF150" s="3">
        <v>2.0</v>
      </c>
      <c r="AG150" s="3">
        <v>0.0</v>
      </c>
      <c r="AH150" s="3">
        <v>1.0</v>
      </c>
      <c r="AI150" s="3">
        <v>1.0</v>
      </c>
      <c r="AJ150" s="3">
        <v>0.0</v>
      </c>
      <c r="AK150" s="3">
        <v>2.0</v>
      </c>
    </row>
    <row r="151">
      <c r="A151" s="2" t="s">
        <v>37</v>
      </c>
      <c r="B151" s="3">
        <v>38991.0</v>
      </c>
      <c r="C151" s="3" t="s">
        <v>142</v>
      </c>
      <c r="D151" s="5">
        <v>46112.99998842592</v>
      </c>
      <c r="E151" s="2" t="s">
        <v>39</v>
      </c>
      <c r="F151" s="3">
        <v>66899.0</v>
      </c>
      <c r="G151" s="2" t="s">
        <v>666</v>
      </c>
      <c r="H151" s="5">
        <v>45135.10319444445</v>
      </c>
      <c r="I151" s="2" t="s">
        <v>57</v>
      </c>
      <c r="J151" s="2" t="s">
        <v>156</v>
      </c>
      <c r="K151" s="2" t="s">
        <v>59</v>
      </c>
      <c r="L151" s="2" t="s">
        <v>44</v>
      </c>
      <c r="M151" s="2" t="s">
        <v>89</v>
      </c>
      <c r="N151" s="2" t="s">
        <v>667</v>
      </c>
      <c r="O151" s="2" t="s">
        <v>668</v>
      </c>
      <c r="P151" s="4">
        <v>46268.0</v>
      </c>
      <c r="Q151" s="3" t="s">
        <v>147</v>
      </c>
      <c r="R151" s="3">
        <v>1997.0</v>
      </c>
      <c r="S151" s="2" t="s">
        <v>148</v>
      </c>
      <c r="T151" s="2" t="s">
        <v>88</v>
      </c>
      <c r="U151" s="2" t="s">
        <v>149</v>
      </c>
      <c r="V151" s="2" t="s">
        <v>150</v>
      </c>
      <c r="W151" s="2" t="s">
        <v>51</v>
      </c>
      <c r="X151" s="2" t="s">
        <v>96</v>
      </c>
      <c r="Y151" s="2" t="s">
        <v>53</v>
      </c>
      <c r="Z151" s="3">
        <v>6.0</v>
      </c>
      <c r="AA151" s="2" t="s">
        <v>54</v>
      </c>
      <c r="AB151" s="3">
        <v>37.0</v>
      </c>
      <c r="AC151" s="3">
        <v>37.0</v>
      </c>
      <c r="AD151" s="7">
        <v>0.7613</v>
      </c>
      <c r="AE151" s="3">
        <v>169.0</v>
      </c>
      <c r="AF151" s="3">
        <v>6.0</v>
      </c>
      <c r="AG151" s="3">
        <v>0.0</v>
      </c>
      <c r="AH151" s="3">
        <v>5.0</v>
      </c>
      <c r="AI151" s="3">
        <v>1.0</v>
      </c>
      <c r="AJ151" s="3">
        <v>0.0</v>
      </c>
      <c r="AK151" s="3">
        <v>6.0</v>
      </c>
    </row>
    <row r="152">
      <c r="A152" s="2" t="s">
        <v>37</v>
      </c>
      <c r="B152" s="3">
        <v>36975.0</v>
      </c>
      <c r="C152" s="4">
        <v>45662.0</v>
      </c>
      <c r="D152" s="3" t="s">
        <v>38</v>
      </c>
      <c r="E152" s="2" t="s">
        <v>72</v>
      </c>
      <c r="F152" s="3">
        <v>28410.0</v>
      </c>
      <c r="G152" s="2" t="s">
        <v>669</v>
      </c>
      <c r="H152" s="5">
        <v>43616.55366898148</v>
      </c>
      <c r="I152" s="2" t="s">
        <v>57</v>
      </c>
      <c r="J152" s="2" t="s">
        <v>411</v>
      </c>
      <c r="K152" s="2" t="s">
        <v>411</v>
      </c>
      <c r="L152" s="2" t="s">
        <v>412</v>
      </c>
      <c r="M152" s="2" t="s">
        <v>523</v>
      </c>
      <c r="N152" s="2" t="s">
        <v>670</v>
      </c>
      <c r="O152" s="2" t="s">
        <v>671</v>
      </c>
      <c r="P152" s="4">
        <v>46056.0</v>
      </c>
      <c r="Q152" s="4">
        <v>46056.0</v>
      </c>
      <c r="R152" s="3">
        <v>1762.0</v>
      </c>
      <c r="S152" s="2" t="s">
        <v>139</v>
      </c>
      <c r="T152" s="2" t="s">
        <v>81</v>
      </c>
      <c r="U152" s="2" t="s">
        <v>140</v>
      </c>
      <c r="V152" s="2" t="s">
        <v>83</v>
      </c>
      <c r="W152" s="2" t="s">
        <v>68</v>
      </c>
      <c r="X152" s="2" t="s">
        <v>69</v>
      </c>
      <c r="Y152" s="2" t="s">
        <v>53</v>
      </c>
      <c r="Z152" s="3">
        <v>6.0</v>
      </c>
      <c r="AA152" s="2" t="s">
        <v>180</v>
      </c>
      <c r="AB152" s="3">
        <v>19.0</v>
      </c>
      <c r="AC152" s="3">
        <v>19.0</v>
      </c>
      <c r="AD152" s="7">
        <v>0.8421</v>
      </c>
      <c r="AE152" s="3">
        <v>16.0</v>
      </c>
      <c r="AF152" s="3">
        <v>1.0</v>
      </c>
      <c r="AG152" s="3">
        <v>0.0</v>
      </c>
      <c r="AH152" s="3">
        <v>0.0</v>
      </c>
      <c r="AI152" s="3">
        <v>1.0</v>
      </c>
      <c r="AJ152" s="3">
        <v>0.0</v>
      </c>
      <c r="AK152" s="3">
        <v>1.0</v>
      </c>
    </row>
    <row r="153">
      <c r="A153" s="2" t="s">
        <v>37</v>
      </c>
      <c r="B153" s="3">
        <v>37040.0</v>
      </c>
      <c r="C153" s="3" t="s">
        <v>337</v>
      </c>
      <c r="D153" s="3" t="s">
        <v>38</v>
      </c>
      <c r="E153" s="2" t="s">
        <v>39</v>
      </c>
      <c r="F153" s="3">
        <v>82125.0</v>
      </c>
      <c r="G153" s="2" t="s">
        <v>672</v>
      </c>
      <c r="H153" s="5">
        <v>45828.722858796296</v>
      </c>
      <c r="I153" s="2" t="s">
        <v>442</v>
      </c>
      <c r="J153" s="2" t="s">
        <v>127</v>
      </c>
      <c r="K153" s="2" t="s">
        <v>128</v>
      </c>
      <c r="L153" s="2" t="s">
        <v>44</v>
      </c>
      <c r="M153" s="2" t="s">
        <v>111</v>
      </c>
      <c r="N153" s="2" t="s">
        <v>673</v>
      </c>
      <c r="O153" s="2" t="s">
        <v>674</v>
      </c>
      <c r="P153" s="4">
        <v>46056.0</v>
      </c>
      <c r="Q153" s="4">
        <v>46298.0</v>
      </c>
      <c r="R153" s="3">
        <v>1693.0</v>
      </c>
      <c r="S153" s="2" t="s">
        <v>342</v>
      </c>
      <c r="T153" s="2" t="s">
        <v>48</v>
      </c>
      <c r="U153" s="2" t="s">
        <v>49</v>
      </c>
      <c r="V153" s="2" t="s">
        <v>50</v>
      </c>
      <c r="W153" s="2" t="s">
        <v>51</v>
      </c>
      <c r="X153" s="2" t="s">
        <v>52</v>
      </c>
      <c r="Y153" s="2" t="s">
        <v>53</v>
      </c>
      <c r="Z153" s="3">
        <v>7.0</v>
      </c>
      <c r="AA153" s="2" t="s">
        <v>318</v>
      </c>
      <c r="AB153" s="3">
        <v>35.0</v>
      </c>
      <c r="AC153" s="3">
        <v>34.0</v>
      </c>
      <c r="AD153" s="7">
        <v>0.8235</v>
      </c>
      <c r="AE153" s="3">
        <v>84.0</v>
      </c>
      <c r="AF153" s="3">
        <v>3.0</v>
      </c>
      <c r="AG153" s="3">
        <v>0.0</v>
      </c>
      <c r="AH153" s="3">
        <v>3.0</v>
      </c>
      <c r="AI153" s="3">
        <v>0.0</v>
      </c>
      <c r="AJ153" s="3">
        <v>0.0</v>
      </c>
      <c r="AK153" s="3">
        <v>3.0</v>
      </c>
    </row>
    <row r="154">
      <c r="A154" s="2" t="s">
        <v>37</v>
      </c>
      <c r="B154" s="3">
        <v>39105.0</v>
      </c>
      <c r="C154" s="3" t="s">
        <v>303</v>
      </c>
      <c r="D154" s="3" t="s">
        <v>38</v>
      </c>
      <c r="E154" s="2" t="s">
        <v>39</v>
      </c>
      <c r="F154" s="3">
        <v>83826.0</v>
      </c>
      <c r="G154" s="2" t="s">
        <v>675</v>
      </c>
      <c r="H154" s="5">
        <v>45855.42784722222</v>
      </c>
      <c r="I154" s="2" t="s">
        <v>108</v>
      </c>
      <c r="J154" s="2" t="s">
        <v>191</v>
      </c>
      <c r="K154" s="2" t="s">
        <v>110</v>
      </c>
      <c r="L154" s="2" t="s">
        <v>44</v>
      </c>
      <c r="M154" s="2" t="s">
        <v>111</v>
      </c>
      <c r="N154" s="2" t="s">
        <v>157</v>
      </c>
      <c r="O154" s="2" t="s">
        <v>676</v>
      </c>
      <c r="P154" s="4">
        <v>46145.0</v>
      </c>
      <c r="Q154" s="3" t="s">
        <v>194</v>
      </c>
      <c r="R154" s="3">
        <v>1707.0</v>
      </c>
      <c r="S154" s="2" t="s">
        <v>595</v>
      </c>
      <c r="T154" s="2" t="s">
        <v>110</v>
      </c>
      <c r="U154" s="2" t="s">
        <v>187</v>
      </c>
      <c r="V154" s="2" t="s">
        <v>116</v>
      </c>
      <c r="W154" s="2" t="s">
        <v>51</v>
      </c>
      <c r="X154" s="2" t="s">
        <v>117</v>
      </c>
      <c r="Y154" s="2" t="s">
        <v>53</v>
      </c>
      <c r="Z154" s="3">
        <v>6.0</v>
      </c>
      <c r="AA154" s="2" t="s">
        <v>54</v>
      </c>
      <c r="AB154" s="3">
        <v>18.0</v>
      </c>
      <c r="AC154" s="3">
        <v>18.0</v>
      </c>
      <c r="AD154" s="7">
        <v>0.9722</v>
      </c>
      <c r="AE154" s="3">
        <v>70.0</v>
      </c>
      <c r="AF154" s="3">
        <v>4.0</v>
      </c>
      <c r="AG154" s="3">
        <v>0.0</v>
      </c>
      <c r="AH154" s="3">
        <v>4.0</v>
      </c>
      <c r="AI154" s="3">
        <v>0.0</v>
      </c>
      <c r="AJ154" s="3">
        <v>0.0</v>
      </c>
      <c r="AK154" s="3">
        <v>4.0</v>
      </c>
    </row>
    <row r="155">
      <c r="A155" s="2" t="s">
        <v>37</v>
      </c>
      <c r="B155" s="3">
        <v>37025.0</v>
      </c>
      <c r="C155" s="3" t="s">
        <v>645</v>
      </c>
      <c r="D155" s="3" t="s">
        <v>38</v>
      </c>
      <c r="E155" s="2" t="s">
        <v>39</v>
      </c>
      <c r="F155" s="3">
        <v>82041.0</v>
      </c>
      <c r="G155" s="2" t="s">
        <v>677</v>
      </c>
      <c r="H155" s="5">
        <v>45826.62469907408</v>
      </c>
      <c r="I155" s="2" t="s">
        <v>442</v>
      </c>
      <c r="J155" s="2" t="s">
        <v>127</v>
      </c>
      <c r="K155" s="2" t="s">
        <v>128</v>
      </c>
      <c r="L155" s="2" t="s">
        <v>44</v>
      </c>
      <c r="M155" s="2" t="s">
        <v>111</v>
      </c>
      <c r="N155" s="2" t="s">
        <v>678</v>
      </c>
      <c r="O155" s="2" t="s">
        <v>679</v>
      </c>
      <c r="P155" s="4">
        <v>46176.0</v>
      </c>
      <c r="Q155" s="3" t="s">
        <v>194</v>
      </c>
      <c r="R155" s="3">
        <v>1699.0</v>
      </c>
      <c r="S155" s="2" t="s">
        <v>343</v>
      </c>
      <c r="T155" s="2" t="s">
        <v>48</v>
      </c>
      <c r="U155" s="2" t="s">
        <v>49</v>
      </c>
      <c r="V155" s="2" t="s">
        <v>50</v>
      </c>
      <c r="W155" s="2" t="s">
        <v>51</v>
      </c>
      <c r="X155" s="2" t="s">
        <v>52</v>
      </c>
      <c r="Y155" s="2" t="s">
        <v>53</v>
      </c>
      <c r="Z155" s="3">
        <v>7.0</v>
      </c>
      <c r="AA155" s="2" t="s">
        <v>54</v>
      </c>
      <c r="AB155" s="3">
        <v>33.0</v>
      </c>
      <c r="AC155" s="3">
        <v>33.0</v>
      </c>
      <c r="AD155" s="7">
        <v>0.9899</v>
      </c>
      <c r="AE155" s="3">
        <v>98.0</v>
      </c>
      <c r="AF155" s="3">
        <v>3.0</v>
      </c>
      <c r="AG155" s="3">
        <v>0.0</v>
      </c>
      <c r="AH155" s="3">
        <v>3.0</v>
      </c>
      <c r="AI155" s="3">
        <v>0.0</v>
      </c>
      <c r="AJ155" s="3">
        <v>0.0</v>
      </c>
      <c r="AK155" s="3">
        <v>3.0</v>
      </c>
    </row>
    <row r="156">
      <c r="A156" s="2" t="s">
        <v>37</v>
      </c>
      <c r="B156" s="3">
        <v>37042.0</v>
      </c>
      <c r="C156" s="3" t="s">
        <v>337</v>
      </c>
      <c r="D156" s="3" t="s">
        <v>38</v>
      </c>
      <c r="E156" s="2" t="s">
        <v>39</v>
      </c>
      <c r="F156" s="3">
        <v>73734.0</v>
      </c>
      <c r="G156" s="2" t="s">
        <v>680</v>
      </c>
      <c r="H156" s="5">
        <v>45474.969976851855</v>
      </c>
      <c r="I156" s="2" t="s">
        <v>278</v>
      </c>
      <c r="J156" s="2" t="s">
        <v>42</v>
      </c>
      <c r="K156" s="2" t="s">
        <v>43</v>
      </c>
      <c r="L156" s="2" t="s">
        <v>44</v>
      </c>
      <c r="M156" s="2" t="s">
        <v>111</v>
      </c>
      <c r="N156" s="6"/>
      <c r="O156" s="2" t="s">
        <v>681</v>
      </c>
      <c r="P156" s="4">
        <v>46115.0</v>
      </c>
      <c r="Q156" s="4">
        <v>46359.0</v>
      </c>
      <c r="R156" s="3">
        <v>1693.0</v>
      </c>
      <c r="S156" s="2" t="s">
        <v>342</v>
      </c>
      <c r="T156" s="2" t="s">
        <v>48</v>
      </c>
      <c r="U156" s="2" t="s">
        <v>49</v>
      </c>
      <c r="V156" s="2" t="s">
        <v>50</v>
      </c>
      <c r="W156" s="2" t="s">
        <v>51</v>
      </c>
      <c r="X156" s="2" t="s">
        <v>52</v>
      </c>
      <c r="Y156" s="2" t="s">
        <v>53</v>
      </c>
      <c r="Z156" s="3">
        <v>8.0</v>
      </c>
      <c r="AA156" s="2" t="s">
        <v>164</v>
      </c>
      <c r="AB156" s="3">
        <v>21.0</v>
      </c>
      <c r="AC156" s="3">
        <v>21.0</v>
      </c>
      <c r="AD156" s="7">
        <v>0.6429</v>
      </c>
      <c r="AE156" s="3">
        <v>54.0</v>
      </c>
      <c r="AF156" s="3">
        <v>4.0</v>
      </c>
      <c r="AG156" s="3">
        <v>0.0</v>
      </c>
      <c r="AH156" s="3">
        <v>4.0</v>
      </c>
      <c r="AI156" s="3">
        <v>0.0</v>
      </c>
      <c r="AJ156" s="3">
        <v>0.0</v>
      </c>
      <c r="AK156" s="3">
        <v>4.0</v>
      </c>
    </row>
    <row r="157">
      <c r="A157" s="2" t="s">
        <v>37</v>
      </c>
      <c r="B157" s="3">
        <v>37031.0</v>
      </c>
      <c r="C157" s="3" t="s">
        <v>337</v>
      </c>
      <c r="D157" s="3" t="s">
        <v>38</v>
      </c>
      <c r="E157" s="2" t="s">
        <v>39</v>
      </c>
      <c r="F157" s="3">
        <v>24908.0</v>
      </c>
      <c r="G157" s="2" t="s">
        <v>682</v>
      </c>
      <c r="H157" s="5">
        <v>43329.39471064815</v>
      </c>
      <c r="I157" s="2" t="s">
        <v>41</v>
      </c>
      <c r="J157" s="2" t="s">
        <v>127</v>
      </c>
      <c r="K157" s="2" t="s">
        <v>128</v>
      </c>
      <c r="L157" s="2" t="s">
        <v>44</v>
      </c>
      <c r="M157" s="2" t="s">
        <v>327</v>
      </c>
      <c r="O157" s="2" t="s">
        <v>683</v>
      </c>
      <c r="P157" s="4">
        <v>46206.0</v>
      </c>
      <c r="Q157" s="4">
        <v>46298.0</v>
      </c>
      <c r="R157" s="3">
        <v>1697.0</v>
      </c>
      <c r="S157" s="2" t="s">
        <v>338</v>
      </c>
      <c r="T157" s="2" t="s">
        <v>48</v>
      </c>
      <c r="U157" s="2" t="s">
        <v>49</v>
      </c>
      <c r="V157" s="2" t="s">
        <v>50</v>
      </c>
      <c r="W157" s="2" t="s">
        <v>51</v>
      </c>
      <c r="X157" s="2" t="s">
        <v>52</v>
      </c>
      <c r="Y157" s="2" t="s">
        <v>53</v>
      </c>
      <c r="Z157" s="3">
        <v>7.0</v>
      </c>
      <c r="AA157" s="2" t="s">
        <v>54</v>
      </c>
      <c r="AB157" s="3">
        <v>10.0</v>
      </c>
      <c r="AC157" s="3">
        <v>10.0</v>
      </c>
      <c r="AD157" s="7">
        <v>0.65</v>
      </c>
      <c r="AE157" s="3">
        <v>13.0</v>
      </c>
      <c r="AF157" s="3">
        <v>2.0</v>
      </c>
      <c r="AG157" s="3">
        <v>0.0</v>
      </c>
      <c r="AH157" s="3">
        <v>0.0</v>
      </c>
      <c r="AI157" s="3">
        <v>2.0</v>
      </c>
      <c r="AJ157" s="3">
        <v>0.0</v>
      </c>
      <c r="AK157" s="3">
        <v>2.0</v>
      </c>
    </row>
    <row r="158">
      <c r="A158" s="2" t="s">
        <v>37</v>
      </c>
      <c r="B158" s="3">
        <v>37033.0</v>
      </c>
      <c r="C158" s="3" t="s">
        <v>337</v>
      </c>
      <c r="D158" s="3" t="s">
        <v>38</v>
      </c>
      <c r="E158" s="2" t="s">
        <v>39</v>
      </c>
      <c r="F158" s="3">
        <v>12763.0</v>
      </c>
      <c r="G158" s="2" t="s">
        <v>684</v>
      </c>
      <c r="H158" s="5">
        <v>42765.16396990741</v>
      </c>
      <c r="I158" s="2" t="s">
        <v>57</v>
      </c>
      <c r="J158" s="2" t="s">
        <v>191</v>
      </c>
      <c r="K158" s="2" t="s">
        <v>110</v>
      </c>
      <c r="L158" s="2" t="s">
        <v>44</v>
      </c>
      <c r="M158" s="2" t="s">
        <v>45</v>
      </c>
      <c r="N158" s="6"/>
      <c r="O158" s="2" t="s">
        <v>685</v>
      </c>
      <c r="P158" s="4">
        <v>46145.0</v>
      </c>
      <c r="Q158" s="3" t="s">
        <v>194</v>
      </c>
      <c r="R158" s="3">
        <v>1697.0</v>
      </c>
      <c r="S158" s="2" t="s">
        <v>338</v>
      </c>
      <c r="T158" s="2" t="s">
        <v>48</v>
      </c>
      <c r="U158" s="2" t="s">
        <v>49</v>
      </c>
      <c r="V158" s="2" t="s">
        <v>50</v>
      </c>
      <c r="W158" s="2" t="s">
        <v>51</v>
      </c>
      <c r="X158" s="2" t="s">
        <v>52</v>
      </c>
      <c r="Y158" s="2" t="s">
        <v>53</v>
      </c>
      <c r="Z158" s="3">
        <v>8.0</v>
      </c>
      <c r="AA158" s="2" t="s">
        <v>54</v>
      </c>
      <c r="AB158" s="3">
        <v>12.0</v>
      </c>
      <c r="AC158" s="3">
        <v>12.0</v>
      </c>
      <c r="AD158" s="7">
        <v>0.9375</v>
      </c>
      <c r="AE158" s="3">
        <v>45.0</v>
      </c>
      <c r="AF158" s="3">
        <v>4.0</v>
      </c>
      <c r="AG158" s="3">
        <v>0.0</v>
      </c>
      <c r="AH158" s="3">
        <v>4.0</v>
      </c>
      <c r="AI158" s="3">
        <v>0.0</v>
      </c>
      <c r="AJ158" s="3">
        <v>0.0</v>
      </c>
      <c r="AK158" s="3">
        <v>4.0</v>
      </c>
    </row>
    <row r="159">
      <c r="A159" s="2" t="s">
        <v>37</v>
      </c>
      <c r="B159" s="3">
        <v>36802.0</v>
      </c>
      <c r="C159" s="3" t="s">
        <v>71</v>
      </c>
      <c r="D159" s="3" t="s">
        <v>38</v>
      </c>
      <c r="E159" s="2" t="s">
        <v>72</v>
      </c>
      <c r="F159" s="3">
        <v>68673.0</v>
      </c>
      <c r="G159" s="2" t="s">
        <v>686</v>
      </c>
      <c r="H159" s="5">
        <v>45195.35603009259</v>
      </c>
      <c r="I159" s="2" t="s">
        <v>57</v>
      </c>
      <c r="J159" s="2" t="s">
        <v>687</v>
      </c>
      <c r="K159" s="2" t="s">
        <v>663</v>
      </c>
      <c r="L159" s="2" t="s">
        <v>44</v>
      </c>
      <c r="M159" s="2" t="s">
        <v>89</v>
      </c>
      <c r="N159" s="2" t="s">
        <v>100</v>
      </c>
      <c r="O159" s="2" t="s">
        <v>688</v>
      </c>
      <c r="P159" s="4">
        <v>46084.0</v>
      </c>
      <c r="Q159" s="4">
        <v>46145.0</v>
      </c>
      <c r="R159" s="3">
        <v>1766.0</v>
      </c>
      <c r="S159" s="2" t="s">
        <v>482</v>
      </c>
      <c r="T159" s="2" t="s">
        <v>81</v>
      </c>
      <c r="U159" s="2" t="s">
        <v>416</v>
      </c>
      <c r="V159" s="2" t="s">
        <v>83</v>
      </c>
      <c r="W159" s="2" t="s">
        <v>68</v>
      </c>
      <c r="X159" s="2" t="s">
        <v>69</v>
      </c>
      <c r="Y159" s="2" t="s">
        <v>53</v>
      </c>
      <c r="Z159" s="3">
        <v>8.0</v>
      </c>
      <c r="AA159" s="2" t="s">
        <v>141</v>
      </c>
      <c r="AB159" s="3">
        <v>38.0</v>
      </c>
      <c r="AC159" s="3">
        <v>38.0</v>
      </c>
      <c r="AD159" s="7">
        <v>0.8158</v>
      </c>
      <c r="AE159" s="3">
        <v>62.0</v>
      </c>
      <c r="AF159" s="3">
        <v>2.0</v>
      </c>
      <c r="AG159" s="3">
        <v>0.0</v>
      </c>
      <c r="AH159" s="3">
        <v>0.0</v>
      </c>
      <c r="AI159" s="3">
        <v>2.0</v>
      </c>
      <c r="AJ159" s="3">
        <v>0.0</v>
      </c>
      <c r="AK159" s="3">
        <v>2.0</v>
      </c>
    </row>
    <row r="160">
      <c r="A160" s="2" t="s">
        <v>37</v>
      </c>
      <c r="B160" s="3">
        <v>39848.0</v>
      </c>
      <c r="C160" s="4">
        <v>45881.0</v>
      </c>
      <c r="D160" s="3" t="s">
        <v>38</v>
      </c>
      <c r="E160" s="2" t="s">
        <v>72</v>
      </c>
      <c r="F160" s="3">
        <v>77909.0</v>
      </c>
      <c r="G160" s="2" t="s">
        <v>689</v>
      </c>
      <c r="H160" s="5">
        <v>45609.462905092594</v>
      </c>
      <c r="I160" s="2" t="s">
        <v>291</v>
      </c>
      <c r="J160" s="2" t="s">
        <v>42</v>
      </c>
      <c r="K160" s="2" t="s">
        <v>43</v>
      </c>
      <c r="L160" s="2" t="s">
        <v>44</v>
      </c>
      <c r="M160" s="2" t="s">
        <v>111</v>
      </c>
      <c r="N160" s="2" t="s">
        <v>157</v>
      </c>
      <c r="O160" s="2" t="s">
        <v>690</v>
      </c>
      <c r="P160" s="4">
        <v>46115.0</v>
      </c>
      <c r="Q160" s="4">
        <v>46145.0</v>
      </c>
      <c r="R160" s="3">
        <v>2047.0</v>
      </c>
      <c r="S160" s="2" t="s">
        <v>358</v>
      </c>
      <c r="T160" s="2" t="s">
        <v>43</v>
      </c>
      <c r="U160" s="2" t="s">
        <v>178</v>
      </c>
      <c r="V160" s="2" t="s">
        <v>179</v>
      </c>
      <c r="W160" s="2" t="s">
        <v>68</v>
      </c>
      <c r="X160" s="2" t="s">
        <v>172</v>
      </c>
      <c r="Y160" s="2" t="s">
        <v>53</v>
      </c>
      <c r="Z160" s="3">
        <v>8.0</v>
      </c>
      <c r="AA160" s="2" t="s">
        <v>180</v>
      </c>
      <c r="AB160" s="3">
        <v>21.0</v>
      </c>
      <c r="AC160" s="3">
        <v>21.0</v>
      </c>
      <c r="AD160" s="7">
        <v>0.9762</v>
      </c>
      <c r="AE160" s="3">
        <v>41.0</v>
      </c>
      <c r="AF160" s="3">
        <v>2.0</v>
      </c>
      <c r="AG160" s="3">
        <v>0.0</v>
      </c>
      <c r="AH160" s="3">
        <v>2.0</v>
      </c>
      <c r="AI160" s="3">
        <v>0.0</v>
      </c>
      <c r="AJ160" s="3">
        <v>0.0</v>
      </c>
      <c r="AK160" s="3">
        <v>2.0</v>
      </c>
    </row>
    <row r="161">
      <c r="A161" s="2" t="s">
        <v>37</v>
      </c>
      <c r="B161" s="3">
        <v>38853.0</v>
      </c>
      <c r="C161" s="3" t="s">
        <v>106</v>
      </c>
      <c r="D161" s="3" t="s">
        <v>38</v>
      </c>
      <c r="E161" s="2" t="s">
        <v>39</v>
      </c>
      <c r="F161" s="3">
        <v>81605.0</v>
      </c>
      <c r="G161" s="2" t="s">
        <v>691</v>
      </c>
      <c r="H161" s="5">
        <v>45807.519212962965</v>
      </c>
      <c r="I161" s="2" t="s">
        <v>246</v>
      </c>
      <c r="J161" s="2" t="s">
        <v>42</v>
      </c>
      <c r="K161" s="2" t="s">
        <v>43</v>
      </c>
      <c r="L161" s="2" t="s">
        <v>44</v>
      </c>
      <c r="M161" s="2" t="s">
        <v>111</v>
      </c>
      <c r="N161" s="2" t="s">
        <v>692</v>
      </c>
      <c r="O161" s="2" t="s">
        <v>693</v>
      </c>
      <c r="P161" s="4">
        <v>46115.0</v>
      </c>
      <c r="Q161" s="4">
        <v>46359.0</v>
      </c>
      <c r="R161" s="3">
        <v>1705.0</v>
      </c>
      <c r="S161" s="2" t="s">
        <v>694</v>
      </c>
      <c r="T161" s="2" t="s">
        <v>110</v>
      </c>
      <c r="U161" s="2" t="s">
        <v>187</v>
      </c>
      <c r="V161" s="2" t="s">
        <v>116</v>
      </c>
      <c r="W161" s="2" t="s">
        <v>51</v>
      </c>
      <c r="X161" s="2" t="s">
        <v>117</v>
      </c>
      <c r="Y161" s="2" t="s">
        <v>53</v>
      </c>
      <c r="Z161" s="3">
        <v>6.0</v>
      </c>
      <c r="AA161" s="2" t="s">
        <v>54</v>
      </c>
      <c r="AB161" s="3">
        <v>124.0</v>
      </c>
      <c r="AC161" s="3">
        <v>124.0</v>
      </c>
      <c r="AD161" s="7">
        <v>0.9738</v>
      </c>
      <c r="AE161" s="3">
        <v>483.0</v>
      </c>
      <c r="AF161" s="3">
        <v>4.0</v>
      </c>
      <c r="AG161" s="3">
        <v>0.0</v>
      </c>
      <c r="AH161" s="3">
        <v>4.0</v>
      </c>
      <c r="AI161" s="3">
        <v>0.0</v>
      </c>
      <c r="AJ161" s="3">
        <v>0.0</v>
      </c>
      <c r="AK161" s="3">
        <v>4.0</v>
      </c>
    </row>
    <row r="162">
      <c r="A162" s="2" t="s">
        <v>37</v>
      </c>
      <c r="B162" s="3">
        <v>37059.0</v>
      </c>
      <c r="C162" s="3" t="s">
        <v>196</v>
      </c>
      <c r="D162" s="3" t="s">
        <v>38</v>
      </c>
      <c r="E162" s="2" t="s">
        <v>39</v>
      </c>
      <c r="F162" s="3">
        <v>83979.0</v>
      </c>
      <c r="G162" s="2" t="s">
        <v>695</v>
      </c>
      <c r="H162" s="5">
        <v>45857.92209490741</v>
      </c>
      <c r="I162" s="2" t="s">
        <v>696</v>
      </c>
      <c r="J162" s="2" t="s">
        <v>42</v>
      </c>
      <c r="K162" s="2" t="s">
        <v>43</v>
      </c>
      <c r="L162" s="2" t="s">
        <v>44</v>
      </c>
      <c r="M162" s="2" t="s">
        <v>364</v>
      </c>
      <c r="N162" s="2" t="s">
        <v>697</v>
      </c>
      <c r="O162" s="2" t="s">
        <v>698</v>
      </c>
      <c r="P162" s="4">
        <v>46056.0</v>
      </c>
      <c r="Q162" s="4">
        <v>46298.0</v>
      </c>
      <c r="R162" s="3">
        <v>1691.0</v>
      </c>
      <c r="S162" s="2" t="s">
        <v>339</v>
      </c>
      <c r="T162" s="2" t="s">
        <v>48</v>
      </c>
      <c r="U162" s="2" t="s">
        <v>49</v>
      </c>
      <c r="V162" s="2" t="s">
        <v>50</v>
      </c>
      <c r="W162" s="2" t="s">
        <v>51</v>
      </c>
      <c r="X162" s="2" t="s">
        <v>52</v>
      </c>
      <c r="Y162" s="2" t="s">
        <v>53</v>
      </c>
      <c r="Z162" s="3">
        <v>6.0</v>
      </c>
      <c r="AA162" s="2" t="s">
        <v>164</v>
      </c>
      <c r="AB162" s="3">
        <v>30.0</v>
      </c>
      <c r="AC162" s="3">
        <v>30.0</v>
      </c>
      <c r="AD162" s="7">
        <v>0.8444</v>
      </c>
      <c r="AE162" s="3">
        <v>76.0</v>
      </c>
      <c r="AF162" s="3">
        <v>3.0</v>
      </c>
      <c r="AG162" s="3">
        <v>0.0</v>
      </c>
      <c r="AH162" s="3">
        <v>3.0</v>
      </c>
      <c r="AI162" s="3">
        <v>0.0</v>
      </c>
      <c r="AJ162" s="3">
        <v>0.0</v>
      </c>
      <c r="AK162" s="3">
        <v>3.0</v>
      </c>
    </row>
    <row r="163">
      <c r="A163" s="2" t="s">
        <v>37</v>
      </c>
      <c r="B163" s="3">
        <v>39841.0</v>
      </c>
      <c r="C163" s="4">
        <v>45728.0</v>
      </c>
      <c r="D163" s="3" t="s">
        <v>38</v>
      </c>
      <c r="E163" s="2" t="s">
        <v>72</v>
      </c>
      <c r="F163" s="3">
        <v>69967.0</v>
      </c>
      <c r="G163" s="2" t="s">
        <v>699</v>
      </c>
      <c r="H163" s="5">
        <v>45255.956712962965</v>
      </c>
      <c r="I163" s="2" t="s">
        <v>57</v>
      </c>
      <c r="J163" s="2" t="s">
        <v>700</v>
      </c>
      <c r="K163" s="2" t="s">
        <v>43</v>
      </c>
      <c r="L163" s="2" t="s">
        <v>44</v>
      </c>
      <c r="M163" s="2" t="s">
        <v>111</v>
      </c>
      <c r="N163" s="2" t="s">
        <v>701</v>
      </c>
      <c r="O163" s="2" t="s">
        <v>702</v>
      </c>
      <c r="P163" s="4">
        <v>46115.0</v>
      </c>
      <c r="Q163" s="4">
        <v>46206.0</v>
      </c>
      <c r="R163" s="3">
        <v>2044.0</v>
      </c>
      <c r="S163" s="2" t="s">
        <v>272</v>
      </c>
      <c r="T163" s="2" t="s">
        <v>43</v>
      </c>
      <c r="U163" s="2" t="s">
        <v>178</v>
      </c>
      <c r="V163" s="2" t="s">
        <v>179</v>
      </c>
      <c r="W163" s="2" t="s">
        <v>68</v>
      </c>
      <c r="X163" s="2" t="s">
        <v>172</v>
      </c>
      <c r="Y163" s="2" t="s">
        <v>53</v>
      </c>
      <c r="Z163" s="3">
        <v>7.0</v>
      </c>
      <c r="AA163" s="2" t="s">
        <v>180</v>
      </c>
      <c r="AB163" s="3">
        <v>43.0</v>
      </c>
      <c r="AC163" s="3">
        <v>43.0</v>
      </c>
      <c r="AD163" s="7">
        <v>1.0</v>
      </c>
      <c r="AE163" s="3">
        <v>86.0</v>
      </c>
      <c r="AF163" s="3">
        <v>2.0</v>
      </c>
      <c r="AG163" s="3">
        <v>0.0</v>
      </c>
      <c r="AH163" s="3">
        <v>0.0</v>
      </c>
      <c r="AI163" s="3">
        <v>2.0</v>
      </c>
      <c r="AJ163" s="3">
        <v>0.0</v>
      </c>
      <c r="AK163" s="3">
        <v>2.0</v>
      </c>
    </row>
    <row r="164">
      <c r="A164" s="2" t="s">
        <v>37</v>
      </c>
      <c r="B164" s="3">
        <v>37060.0</v>
      </c>
      <c r="C164" s="3" t="s">
        <v>196</v>
      </c>
      <c r="D164" s="3" t="s">
        <v>38</v>
      </c>
      <c r="E164" s="2" t="s">
        <v>39</v>
      </c>
      <c r="F164" s="3">
        <v>72609.0</v>
      </c>
      <c r="G164" s="2" t="s">
        <v>703</v>
      </c>
      <c r="H164" s="5">
        <v>45429.00172453704</v>
      </c>
      <c r="I164" s="2" t="s">
        <v>57</v>
      </c>
      <c r="J164" s="2" t="s">
        <v>704</v>
      </c>
      <c r="K164" s="2" t="s">
        <v>48</v>
      </c>
      <c r="L164" s="2" t="s">
        <v>44</v>
      </c>
      <c r="M164" s="2" t="s">
        <v>364</v>
      </c>
      <c r="N164" s="2" t="s">
        <v>705</v>
      </c>
      <c r="O164" s="2" t="s">
        <v>706</v>
      </c>
      <c r="P164" s="4">
        <v>46115.0</v>
      </c>
      <c r="Q164" s="4">
        <v>46329.0</v>
      </c>
      <c r="R164" s="3">
        <v>1691.0</v>
      </c>
      <c r="S164" s="2" t="s">
        <v>339</v>
      </c>
      <c r="T164" s="2" t="s">
        <v>48</v>
      </c>
      <c r="U164" s="2" t="s">
        <v>49</v>
      </c>
      <c r="V164" s="2" t="s">
        <v>50</v>
      </c>
      <c r="W164" s="2" t="s">
        <v>51</v>
      </c>
      <c r="X164" s="2" t="s">
        <v>52</v>
      </c>
      <c r="Y164" s="2" t="s">
        <v>53</v>
      </c>
      <c r="Z164" s="3">
        <v>7.0</v>
      </c>
      <c r="AA164" s="2" t="s">
        <v>164</v>
      </c>
      <c r="AB164" s="3">
        <v>31.0</v>
      </c>
      <c r="AC164" s="3">
        <v>31.0</v>
      </c>
      <c r="AD164" s="7">
        <v>0.7823</v>
      </c>
      <c r="AE164" s="3">
        <v>97.0</v>
      </c>
      <c r="AF164" s="3">
        <v>4.0</v>
      </c>
      <c r="AG164" s="3">
        <v>0.0</v>
      </c>
      <c r="AH164" s="3">
        <v>4.0</v>
      </c>
      <c r="AI164" s="3">
        <v>0.0</v>
      </c>
      <c r="AJ164" s="3">
        <v>0.0</v>
      </c>
      <c r="AK164" s="3">
        <v>4.0</v>
      </c>
    </row>
    <row r="165">
      <c r="A165" s="2" t="s">
        <v>37</v>
      </c>
      <c r="B165" s="3">
        <v>39002.0</v>
      </c>
      <c r="C165" s="3" t="s">
        <v>142</v>
      </c>
      <c r="D165" s="5">
        <v>46112.99998842592</v>
      </c>
      <c r="E165" s="2" t="s">
        <v>39</v>
      </c>
      <c r="F165" s="3">
        <v>56553.0</v>
      </c>
      <c r="G165" s="2" t="s">
        <v>707</v>
      </c>
      <c r="H165" s="5">
        <v>44613.965625</v>
      </c>
      <c r="I165" s="2" t="s">
        <v>57</v>
      </c>
      <c r="J165" s="2" t="s">
        <v>351</v>
      </c>
      <c r="K165" s="2" t="s">
        <v>88</v>
      </c>
      <c r="L165" s="2" t="s">
        <v>44</v>
      </c>
      <c r="M165" s="2" t="s">
        <v>99</v>
      </c>
      <c r="N165" s="2" t="s">
        <v>708</v>
      </c>
      <c r="O165" s="2" t="s">
        <v>709</v>
      </c>
      <c r="P165" s="4">
        <v>46268.0</v>
      </c>
      <c r="Q165" s="3" t="s">
        <v>208</v>
      </c>
      <c r="R165" s="3">
        <v>2003.0</v>
      </c>
      <c r="S165" s="2" t="s">
        <v>217</v>
      </c>
      <c r="T165" s="2" t="s">
        <v>88</v>
      </c>
      <c r="U165" s="2" t="s">
        <v>149</v>
      </c>
      <c r="V165" s="2" t="s">
        <v>150</v>
      </c>
      <c r="W165" s="2" t="s">
        <v>51</v>
      </c>
      <c r="X165" s="2" t="s">
        <v>96</v>
      </c>
      <c r="Y165" s="2" t="s">
        <v>210</v>
      </c>
      <c r="Z165" s="3">
        <v>8.0</v>
      </c>
      <c r="AA165" s="2" t="s">
        <v>164</v>
      </c>
      <c r="AB165" s="3">
        <v>90.0</v>
      </c>
      <c r="AC165" s="3">
        <v>90.0</v>
      </c>
      <c r="AD165" s="7">
        <v>0.1361</v>
      </c>
      <c r="AE165" s="3">
        <v>49.0</v>
      </c>
      <c r="AF165" s="3">
        <v>4.0</v>
      </c>
      <c r="AG165" s="3">
        <v>0.0</v>
      </c>
      <c r="AH165" s="3">
        <v>2.0</v>
      </c>
      <c r="AI165" s="3">
        <v>2.0</v>
      </c>
      <c r="AJ165" s="3">
        <v>0.0</v>
      </c>
      <c r="AK165" s="3">
        <v>4.0</v>
      </c>
    </row>
    <row r="166">
      <c r="A166" s="2" t="s">
        <v>37</v>
      </c>
      <c r="B166" s="3">
        <v>40205.0</v>
      </c>
      <c r="C166" s="3" t="s">
        <v>55</v>
      </c>
      <c r="D166" s="3" t="s">
        <v>38</v>
      </c>
      <c r="E166" s="2" t="s">
        <v>39</v>
      </c>
      <c r="F166" s="3">
        <v>85118.0</v>
      </c>
      <c r="G166" s="2" t="s">
        <v>710</v>
      </c>
      <c r="H166" s="5">
        <v>45890.809386574074</v>
      </c>
      <c r="I166" s="2" t="s">
        <v>57</v>
      </c>
      <c r="J166" s="2" t="s">
        <v>711</v>
      </c>
      <c r="K166" s="2" t="s">
        <v>220</v>
      </c>
      <c r="L166" s="2" t="s">
        <v>44</v>
      </c>
      <c r="M166" s="2" t="s">
        <v>89</v>
      </c>
      <c r="N166" s="2" t="s">
        <v>712</v>
      </c>
      <c r="O166" s="2" t="s">
        <v>713</v>
      </c>
      <c r="P166" s="4">
        <v>46145.0</v>
      </c>
      <c r="Q166" s="3" t="s">
        <v>236</v>
      </c>
      <c r="R166" s="3">
        <v>1785.0</v>
      </c>
      <c r="S166" s="2" t="s">
        <v>280</v>
      </c>
      <c r="T166" s="2" t="s">
        <v>65</v>
      </c>
      <c r="U166" s="2" t="s">
        <v>104</v>
      </c>
      <c r="V166" s="2" t="s">
        <v>67</v>
      </c>
      <c r="W166" s="2" t="s">
        <v>68</v>
      </c>
      <c r="X166" s="2" t="s">
        <v>69</v>
      </c>
      <c r="Y166" s="2" t="s">
        <v>53</v>
      </c>
      <c r="Z166" s="3">
        <v>6.0</v>
      </c>
      <c r="AA166" s="2" t="s">
        <v>70</v>
      </c>
      <c r="AB166" s="3">
        <v>24.0</v>
      </c>
      <c r="AC166" s="3">
        <v>24.0</v>
      </c>
      <c r="AD166" s="7">
        <v>0.7083</v>
      </c>
      <c r="AE166" s="3">
        <v>85.0</v>
      </c>
      <c r="AF166" s="3">
        <v>5.0</v>
      </c>
      <c r="AG166" s="3">
        <v>0.0</v>
      </c>
      <c r="AH166" s="3">
        <v>4.0</v>
      </c>
      <c r="AI166" s="3">
        <v>1.0</v>
      </c>
      <c r="AJ166" s="3">
        <v>0.0</v>
      </c>
      <c r="AK166" s="3">
        <v>5.0</v>
      </c>
    </row>
    <row r="167">
      <c r="A167" s="2" t="s">
        <v>37</v>
      </c>
      <c r="B167" s="3">
        <v>38817.0</v>
      </c>
      <c r="C167" s="3" t="s">
        <v>106</v>
      </c>
      <c r="D167" s="3" t="s">
        <v>38</v>
      </c>
      <c r="E167" s="2" t="s">
        <v>39</v>
      </c>
      <c r="F167" s="3">
        <v>47734.0</v>
      </c>
      <c r="G167" s="2" t="s">
        <v>714</v>
      </c>
      <c r="H167" s="5">
        <v>44297.28907407408</v>
      </c>
      <c r="I167" s="2" t="s">
        <v>57</v>
      </c>
      <c r="J167" s="2" t="s">
        <v>715</v>
      </c>
      <c r="K167" s="2" t="s">
        <v>59</v>
      </c>
      <c r="L167" s="2" t="s">
        <v>44</v>
      </c>
      <c r="M167" s="2" t="s">
        <v>400</v>
      </c>
      <c r="N167" s="2" t="s">
        <v>716</v>
      </c>
      <c r="O167" s="2" t="s">
        <v>717</v>
      </c>
      <c r="P167" s="4">
        <v>46056.0</v>
      </c>
      <c r="Q167" s="4">
        <v>46298.0</v>
      </c>
      <c r="R167" s="3">
        <v>1330.0</v>
      </c>
      <c r="S167" s="2" t="s">
        <v>718</v>
      </c>
      <c r="T167" s="2" t="s">
        <v>110</v>
      </c>
      <c r="U167" s="2" t="s">
        <v>115</v>
      </c>
      <c r="V167" s="2" t="s">
        <v>116</v>
      </c>
      <c r="W167" s="2" t="s">
        <v>51</v>
      </c>
      <c r="X167" s="2" t="s">
        <v>117</v>
      </c>
      <c r="Y167" s="2" t="s">
        <v>53</v>
      </c>
      <c r="Z167" s="3">
        <v>8.0</v>
      </c>
      <c r="AA167" s="2" t="s">
        <v>54</v>
      </c>
      <c r="AB167" s="3">
        <v>38.0</v>
      </c>
      <c r="AC167" s="3">
        <v>35.0</v>
      </c>
      <c r="AD167" s="7">
        <v>0.8929</v>
      </c>
      <c r="AE167" s="3">
        <v>125.0</v>
      </c>
      <c r="AF167" s="3">
        <v>4.0</v>
      </c>
      <c r="AG167" s="3">
        <v>0.0</v>
      </c>
      <c r="AH167" s="3">
        <v>4.0</v>
      </c>
      <c r="AI167" s="3">
        <v>0.0</v>
      </c>
      <c r="AJ167" s="3">
        <v>0.0</v>
      </c>
      <c r="AK167" s="3">
        <v>4.0</v>
      </c>
    </row>
    <row r="168">
      <c r="A168" s="2" t="s">
        <v>37</v>
      </c>
      <c r="B168" s="3">
        <v>36979.0</v>
      </c>
      <c r="C168" s="4">
        <v>45662.0</v>
      </c>
      <c r="D168" s="3" t="s">
        <v>38</v>
      </c>
      <c r="E168" s="2" t="s">
        <v>72</v>
      </c>
      <c r="F168" s="3">
        <v>81150.0</v>
      </c>
      <c r="G168" s="2" t="s">
        <v>719</v>
      </c>
      <c r="H168" s="5">
        <v>45777.54158564815</v>
      </c>
      <c r="I168" s="2" t="s">
        <v>492</v>
      </c>
      <c r="J168" s="2" t="s">
        <v>42</v>
      </c>
      <c r="K168" s="2" t="s">
        <v>43</v>
      </c>
      <c r="L168" s="2" t="s">
        <v>44</v>
      </c>
      <c r="M168" s="2" t="s">
        <v>111</v>
      </c>
      <c r="N168" s="2" t="s">
        <v>720</v>
      </c>
      <c r="O168" s="2" t="s">
        <v>721</v>
      </c>
      <c r="P168" s="4">
        <v>46176.0</v>
      </c>
      <c r="Q168" s="4">
        <v>46176.0</v>
      </c>
      <c r="R168" s="3">
        <v>1764.0</v>
      </c>
      <c r="S168" s="2" t="s">
        <v>300</v>
      </c>
      <c r="T168" s="2" t="s">
        <v>81</v>
      </c>
      <c r="U168" s="2" t="s">
        <v>301</v>
      </c>
      <c r="V168" s="2" t="s">
        <v>83</v>
      </c>
      <c r="W168" s="2" t="s">
        <v>68</v>
      </c>
      <c r="X168" s="2" t="s">
        <v>69</v>
      </c>
      <c r="Y168" s="2" t="s">
        <v>53</v>
      </c>
      <c r="Z168" s="3">
        <v>6.0</v>
      </c>
      <c r="AA168" s="2" t="s">
        <v>180</v>
      </c>
      <c r="AB168" s="3">
        <v>37.0</v>
      </c>
      <c r="AC168" s="3">
        <v>37.0</v>
      </c>
      <c r="AD168" s="7">
        <v>1.0</v>
      </c>
      <c r="AE168" s="3">
        <v>37.0</v>
      </c>
      <c r="AF168" s="3">
        <v>1.0</v>
      </c>
      <c r="AG168" s="3">
        <v>0.0</v>
      </c>
      <c r="AH168" s="3">
        <v>1.0</v>
      </c>
      <c r="AI168" s="3">
        <v>0.0</v>
      </c>
      <c r="AJ168" s="3">
        <v>0.0</v>
      </c>
      <c r="AK168" s="3">
        <v>1.0</v>
      </c>
    </row>
    <row r="169">
      <c r="A169" s="2" t="s">
        <v>37</v>
      </c>
      <c r="B169" s="3">
        <v>39099.0</v>
      </c>
      <c r="C169" s="3" t="s">
        <v>303</v>
      </c>
      <c r="D169" s="3" t="s">
        <v>38</v>
      </c>
      <c r="E169" s="2" t="s">
        <v>39</v>
      </c>
      <c r="F169" s="3">
        <v>83700.0</v>
      </c>
      <c r="G169" s="2" t="s">
        <v>722</v>
      </c>
      <c r="H169" s="5">
        <v>45854.410949074074</v>
      </c>
      <c r="I169" s="2" t="s">
        <v>108</v>
      </c>
      <c r="J169" s="2" t="s">
        <v>191</v>
      </c>
      <c r="K169" s="2" t="s">
        <v>110</v>
      </c>
      <c r="L169" s="2" t="s">
        <v>44</v>
      </c>
      <c r="M169" s="2" t="s">
        <v>111</v>
      </c>
      <c r="N169" s="2" t="s">
        <v>723</v>
      </c>
      <c r="O169" s="2" t="s">
        <v>724</v>
      </c>
      <c r="P169" s="4">
        <v>46056.0</v>
      </c>
      <c r="Q169" s="3" t="s">
        <v>194</v>
      </c>
      <c r="R169" s="3">
        <v>1703.0</v>
      </c>
      <c r="S169" s="2" t="s">
        <v>307</v>
      </c>
      <c r="T169" s="2" t="s">
        <v>110</v>
      </c>
      <c r="U169" s="2" t="s">
        <v>187</v>
      </c>
      <c r="V169" s="2" t="s">
        <v>116</v>
      </c>
      <c r="W169" s="2" t="s">
        <v>51</v>
      </c>
      <c r="X169" s="2" t="s">
        <v>117</v>
      </c>
      <c r="Y169" s="2" t="s">
        <v>53</v>
      </c>
      <c r="Z169" s="3">
        <v>6.0</v>
      </c>
      <c r="AA169" s="2" t="s">
        <v>54</v>
      </c>
      <c r="AB169" s="3">
        <v>14.0</v>
      </c>
      <c r="AC169" s="3">
        <v>14.0</v>
      </c>
      <c r="AD169" s="7">
        <v>1.0</v>
      </c>
      <c r="AE169" s="3">
        <v>56.0</v>
      </c>
      <c r="AF169" s="3">
        <v>4.0</v>
      </c>
      <c r="AG169" s="3">
        <v>0.0</v>
      </c>
      <c r="AH169" s="3">
        <v>4.0</v>
      </c>
      <c r="AI169" s="3">
        <v>0.0</v>
      </c>
      <c r="AJ169" s="3">
        <v>0.0</v>
      </c>
      <c r="AK169" s="3">
        <v>4.0</v>
      </c>
    </row>
    <row r="170">
      <c r="A170" s="2" t="s">
        <v>37</v>
      </c>
      <c r="B170" s="3">
        <v>39586.0</v>
      </c>
      <c r="C170" s="4">
        <v>45667.0</v>
      </c>
      <c r="D170" s="5">
        <v>46112.99998842592</v>
      </c>
      <c r="E170" s="2" t="s">
        <v>39</v>
      </c>
      <c r="F170" s="3">
        <v>61061.0</v>
      </c>
      <c r="G170" s="2" t="s">
        <v>725</v>
      </c>
      <c r="H170" s="5">
        <v>44880.815775462965</v>
      </c>
      <c r="I170" s="2" t="s">
        <v>57</v>
      </c>
      <c r="J170" s="2" t="s">
        <v>351</v>
      </c>
      <c r="K170" s="2" t="s">
        <v>88</v>
      </c>
      <c r="L170" s="2" t="s">
        <v>44</v>
      </c>
      <c r="M170" s="2" t="s">
        <v>77</v>
      </c>
      <c r="N170" s="2" t="s">
        <v>726</v>
      </c>
      <c r="O170" s="2" t="s">
        <v>727</v>
      </c>
      <c r="P170" s="4">
        <v>46268.0</v>
      </c>
      <c r="Q170" s="3" t="s">
        <v>208</v>
      </c>
      <c r="R170" s="3">
        <v>2000.0</v>
      </c>
      <c r="S170" s="2" t="s">
        <v>321</v>
      </c>
      <c r="T170" s="2" t="s">
        <v>88</v>
      </c>
      <c r="U170" s="2" t="s">
        <v>149</v>
      </c>
      <c r="V170" s="2" t="s">
        <v>150</v>
      </c>
      <c r="W170" s="2" t="s">
        <v>51</v>
      </c>
      <c r="X170" s="2" t="s">
        <v>96</v>
      </c>
      <c r="Y170" s="2" t="s">
        <v>53</v>
      </c>
      <c r="Z170" s="3">
        <v>6.0</v>
      </c>
      <c r="AA170" s="2" t="s">
        <v>54</v>
      </c>
      <c r="AB170" s="3">
        <v>36.0</v>
      </c>
      <c r="AC170" s="3">
        <v>34.0</v>
      </c>
      <c r="AD170" s="7">
        <v>0.6471</v>
      </c>
      <c r="AE170" s="3">
        <v>88.0</v>
      </c>
      <c r="AF170" s="3">
        <v>4.0</v>
      </c>
      <c r="AG170" s="3">
        <v>0.0</v>
      </c>
      <c r="AH170" s="3">
        <v>2.0</v>
      </c>
      <c r="AI170" s="3">
        <v>2.0</v>
      </c>
      <c r="AJ170" s="3">
        <v>0.0</v>
      </c>
      <c r="AK170" s="3">
        <v>4.0</v>
      </c>
    </row>
    <row r="171">
      <c r="A171" s="2" t="s">
        <v>37</v>
      </c>
      <c r="B171" s="3">
        <v>38973.0</v>
      </c>
      <c r="C171" s="3" t="s">
        <v>211</v>
      </c>
      <c r="D171" s="5">
        <v>46112.99998842592</v>
      </c>
      <c r="E171" s="2" t="s">
        <v>39</v>
      </c>
      <c r="F171" s="3">
        <v>69895.0</v>
      </c>
      <c r="G171" s="2" t="s">
        <v>728</v>
      </c>
      <c r="H171" s="5">
        <v>45253.75069444445</v>
      </c>
      <c r="I171" s="2" t="s">
        <v>57</v>
      </c>
      <c r="J171" s="2" t="s">
        <v>729</v>
      </c>
      <c r="K171" s="2" t="s">
        <v>730</v>
      </c>
      <c r="L171" s="2" t="s">
        <v>533</v>
      </c>
      <c r="M171" s="2" t="s">
        <v>364</v>
      </c>
      <c r="N171" s="2" t="s">
        <v>413</v>
      </c>
      <c r="O171" s="2" t="s">
        <v>731</v>
      </c>
      <c r="P171" s="4">
        <v>46298.0</v>
      </c>
      <c r="Q171" s="3" t="s">
        <v>92</v>
      </c>
      <c r="R171" s="3">
        <v>1996.0</v>
      </c>
      <c r="S171" s="2" t="s">
        <v>329</v>
      </c>
      <c r="T171" s="2" t="s">
        <v>88</v>
      </c>
      <c r="U171" s="2" t="s">
        <v>149</v>
      </c>
      <c r="V171" s="2" t="s">
        <v>150</v>
      </c>
      <c r="W171" s="2" t="s">
        <v>51</v>
      </c>
      <c r="X171" s="2" t="s">
        <v>96</v>
      </c>
      <c r="Y171" s="2" t="s">
        <v>53</v>
      </c>
      <c r="Z171" s="3">
        <v>8.0</v>
      </c>
      <c r="AA171" s="2" t="s">
        <v>54</v>
      </c>
      <c r="AB171" s="3">
        <v>34.0</v>
      </c>
      <c r="AC171" s="3">
        <v>34.0</v>
      </c>
      <c r="AD171" s="7">
        <v>1.0</v>
      </c>
      <c r="AE171" s="3">
        <v>136.0</v>
      </c>
      <c r="AF171" s="3">
        <v>4.0</v>
      </c>
      <c r="AG171" s="3">
        <v>0.0</v>
      </c>
      <c r="AH171" s="3">
        <v>0.0</v>
      </c>
      <c r="AI171" s="3">
        <v>4.0</v>
      </c>
      <c r="AJ171" s="3">
        <v>0.0</v>
      </c>
      <c r="AK171" s="3">
        <v>4.0</v>
      </c>
    </row>
    <row r="172">
      <c r="A172" s="2" t="s">
        <v>37</v>
      </c>
      <c r="B172" s="3">
        <v>38988.0</v>
      </c>
      <c r="C172" s="4">
        <v>45661.0</v>
      </c>
      <c r="D172" s="5">
        <v>46112.99998842592</v>
      </c>
      <c r="E172" s="2" t="s">
        <v>39</v>
      </c>
      <c r="F172" s="3">
        <v>82199.0</v>
      </c>
      <c r="G172" s="2" t="s">
        <v>732</v>
      </c>
      <c r="H172" s="5">
        <v>45831.92240740741</v>
      </c>
      <c r="I172" s="2" t="s">
        <v>57</v>
      </c>
      <c r="J172" s="2" t="s">
        <v>156</v>
      </c>
      <c r="K172" s="2" t="s">
        <v>59</v>
      </c>
      <c r="L172" s="2" t="s">
        <v>44</v>
      </c>
      <c r="M172" s="2" t="s">
        <v>111</v>
      </c>
      <c r="N172" s="2" t="s">
        <v>544</v>
      </c>
      <c r="O172" s="2" t="s">
        <v>733</v>
      </c>
      <c r="P172" s="4">
        <v>46359.0</v>
      </c>
      <c r="Q172" s="3" t="s">
        <v>169</v>
      </c>
      <c r="R172" s="3">
        <v>1994.0</v>
      </c>
      <c r="S172" s="2" t="s">
        <v>354</v>
      </c>
      <c r="T172" s="2" t="s">
        <v>88</v>
      </c>
      <c r="U172" s="2" t="s">
        <v>149</v>
      </c>
      <c r="V172" s="2" t="s">
        <v>150</v>
      </c>
      <c r="W172" s="2" t="s">
        <v>51</v>
      </c>
      <c r="X172" s="2" t="s">
        <v>96</v>
      </c>
      <c r="Y172" s="2" t="s">
        <v>210</v>
      </c>
      <c r="Z172" s="3">
        <v>7.0</v>
      </c>
      <c r="AA172" s="2" t="s">
        <v>164</v>
      </c>
      <c r="AB172" s="3">
        <v>26.0</v>
      </c>
      <c r="AC172" s="3">
        <v>26.0</v>
      </c>
      <c r="AD172" s="7">
        <v>0.9744</v>
      </c>
      <c r="AE172" s="3">
        <v>76.0</v>
      </c>
      <c r="AF172" s="3">
        <v>3.0</v>
      </c>
      <c r="AG172" s="3">
        <v>0.0</v>
      </c>
      <c r="AH172" s="3">
        <v>3.0</v>
      </c>
      <c r="AI172" s="3">
        <v>0.0</v>
      </c>
      <c r="AJ172" s="3">
        <v>0.0</v>
      </c>
      <c r="AK172" s="3">
        <v>3.0</v>
      </c>
    </row>
    <row r="173">
      <c r="A173" s="2" t="s">
        <v>37</v>
      </c>
      <c r="B173" s="3">
        <v>36851.0</v>
      </c>
      <c r="C173" s="3" t="s">
        <v>71</v>
      </c>
      <c r="D173" s="3" t="s">
        <v>38</v>
      </c>
      <c r="E173" s="2" t="s">
        <v>72</v>
      </c>
      <c r="F173" s="3">
        <v>73238.0</v>
      </c>
      <c r="G173" s="2" t="s">
        <v>734</v>
      </c>
      <c r="H173" s="5">
        <v>45462.81696759259</v>
      </c>
      <c r="I173" s="2" t="s">
        <v>296</v>
      </c>
      <c r="J173" s="2" t="s">
        <v>735</v>
      </c>
      <c r="K173" s="2" t="s">
        <v>81</v>
      </c>
      <c r="L173" s="2" t="s">
        <v>44</v>
      </c>
      <c r="M173" s="2" t="s">
        <v>89</v>
      </c>
      <c r="N173" s="2" t="s">
        <v>298</v>
      </c>
      <c r="O173" s="2" t="s">
        <v>736</v>
      </c>
      <c r="P173" s="4">
        <v>46206.0</v>
      </c>
      <c r="Q173" s="4">
        <v>46206.0</v>
      </c>
      <c r="R173" s="3">
        <v>1761.0</v>
      </c>
      <c r="S173" s="2" t="s">
        <v>80</v>
      </c>
      <c r="T173" s="2" t="s">
        <v>81</v>
      </c>
      <c r="U173" s="2" t="s">
        <v>82</v>
      </c>
      <c r="V173" s="2" t="s">
        <v>83</v>
      </c>
      <c r="W173" s="2" t="s">
        <v>68</v>
      </c>
      <c r="X173" s="2" t="s">
        <v>69</v>
      </c>
      <c r="Y173" s="2" t="s">
        <v>53</v>
      </c>
      <c r="Z173" s="3">
        <v>9.0</v>
      </c>
      <c r="AA173" s="2" t="s">
        <v>84</v>
      </c>
      <c r="AB173" s="3">
        <v>34.0</v>
      </c>
      <c r="AC173" s="3">
        <v>34.0</v>
      </c>
      <c r="AD173" s="7">
        <v>0.9118</v>
      </c>
      <c r="AE173" s="3">
        <v>31.0</v>
      </c>
      <c r="AF173" s="3">
        <v>1.0</v>
      </c>
      <c r="AG173" s="3">
        <v>0.0</v>
      </c>
      <c r="AH173" s="3">
        <v>1.0</v>
      </c>
      <c r="AI173" s="3">
        <v>0.0</v>
      </c>
      <c r="AJ173" s="3">
        <v>0.0</v>
      </c>
      <c r="AK173" s="3">
        <v>1.0</v>
      </c>
    </row>
    <row r="174">
      <c r="A174" s="2" t="s">
        <v>37</v>
      </c>
      <c r="B174" s="3">
        <v>36863.0</v>
      </c>
      <c r="C174" s="3" t="s">
        <v>302</v>
      </c>
      <c r="D174" s="3" t="s">
        <v>38</v>
      </c>
      <c r="E174" s="2" t="s">
        <v>72</v>
      </c>
      <c r="F174" s="3">
        <v>73238.0</v>
      </c>
      <c r="G174" s="2" t="s">
        <v>734</v>
      </c>
      <c r="H174" s="5">
        <v>45462.81696759259</v>
      </c>
      <c r="I174" s="2" t="s">
        <v>296</v>
      </c>
      <c r="J174" s="2" t="s">
        <v>735</v>
      </c>
      <c r="K174" s="2" t="s">
        <v>81</v>
      </c>
      <c r="L174" s="2" t="s">
        <v>44</v>
      </c>
      <c r="M174" s="2" t="s">
        <v>89</v>
      </c>
      <c r="N174" s="2" t="s">
        <v>298</v>
      </c>
      <c r="O174" s="2" t="s">
        <v>736</v>
      </c>
      <c r="P174" s="4">
        <v>46206.0</v>
      </c>
      <c r="Q174" s="4">
        <v>46206.0</v>
      </c>
      <c r="R174" s="3">
        <v>1761.0</v>
      </c>
      <c r="S174" s="2" t="s">
        <v>80</v>
      </c>
      <c r="T174" s="2" t="s">
        <v>81</v>
      </c>
      <c r="U174" s="2" t="s">
        <v>82</v>
      </c>
      <c r="V174" s="2" t="s">
        <v>83</v>
      </c>
      <c r="W174" s="2" t="s">
        <v>68</v>
      </c>
      <c r="X174" s="2" t="s">
        <v>69</v>
      </c>
      <c r="Y174" s="2" t="s">
        <v>53</v>
      </c>
      <c r="Z174" s="3">
        <v>8.0</v>
      </c>
      <c r="AA174" s="2" t="s">
        <v>141</v>
      </c>
      <c r="AB174" s="3">
        <v>23.0</v>
      </c>
      <c r="AC174" s="3">
        <v>23.0</v>
      </c>
      <c r="AD174" s="7">
        <v>0.913</v>
      </c>
      <c r="AE174" s="3">
        <v>21.0</v>
      </c>
      <c r="AF174" s="3">
        <v>1.0</v>
      </c>
      <c r="AG174" s="3">
        <v>0.0</v>
      </c>
      <c r="AH174" s="3">
        <v>1.0</v>
      </c>
      <c r="AI174" s="3">
        <v>0.0</v>
      </c>
      <c r="AJ174" s="3">
        <v>0.0</v>
      </c>
      <c r="AK174" s="3">
        <v>1.0</v>
      </c>
    </row>
    <row r="175">
      <c r="A175" s="2" t="s">
        <v>37</v>
      </c>
      <c r="B175" s="3">
        <v>36972.0</v>
      </c>
      <c r="C175" s="4">
        <v>45782.0</v>
      </c>
      <c r="D175" s="3" t="s">
        <v>38</v>
      </c>
      <c r="E175" s="2" t="s">
        <v>72</v>
      </c>
      <c r="F175" s="3">
        <v>73238.0</v>
      </c>
      <c r="G175" s="2" t="s">
        <v>734</v>
      </c>
      <c r="H175" s="5">
        <v>45462.81696759259</v>
      </c>
      <c r="I175" s="2" t="s">
        <v>296</v>
      </c>
      <c r="J175" s="2" t="s">
        <v>735</v>
      </c>
      <c r="K175" s="2" t="s">
        <v>81</v>
      </c>
      <c r="L175" s="2" t="s">
        <v>44</v>
      </c>
      <c r="M175" s="2" t="s">
        <v>89</v>
      </c>
      <c r="N175" s="2" t="s">
        <v>298</v>
      </c>
      <c r="O175" s="2" t="s">
        <v>736</v>
      </c>
      <c r="P175" s="4">
        <v>46176.0</v>
      </c>
      <c r="Q175" s="4">
        <v>46176.0</v>
      </c>
      <c r="R175" s="3">
        <v>1761.0</v>
      </c>
      <c r="S175" s="2" t="s">
        <v>80</v>
      </c>
      <c r="T175" s="2" t="s">
        <v>81</v>
      </c>
      <c r="U175" s="2" t="s">
        <v>82</v>
      </c>
      <c r="V175" s="2" t="s">
        <v>83</v>
      </c>
      <c r="W175" s="2" t="s">
        <v>68</v>
      </c>
      <c r="X175" s="2" t="s">
        <v>69</v>
      </c>
      <c r="Y175" s="2" t="s">
        <v>53</v>
      </c>
      <c r="Z175" s="3">
        <v>6.0</v>
      </c>
      <c r="AA175" s="2" t="s">
        <v>180</v>
      </c>
      <c r="AB175" s="3">
        <v>26.0</v>
      </c>
      <c r="AC175" s="3">
        <v>26.0</v>
      </c>
      <c r="AD175" s="7">
        <v>0.9615</v>
      </c>
      <c r="AE175" s="3">
        <v>25.0</v>
      </c>
      <c r="AF175" s="3">
        <v>1.0</v>
      </c>
      <c r="AG175" s="3">
        <v>0.0</v>
      </c>
      <c r="AH175" s="3">
        <v>1.0</v>
      </c>
      <c r="AI175" s="3">
        <v>0.0</v>
      </c>
      <c r="AJ175" s="3">
        <v>0.0</v>
      </c>
      <c r="AK175" s="3">
        <v>1.0</v>
      </c>
    </row>
    <row r="176">
      <c r="A176" s="2" t="s">
        <v>37</v>
      </c>
      <c r="B176" s="3">
        <v>39583.0</v>
      </c>
      <c r="C176" s="3" t="s">
        <v>637</v>
      </c>
      <c r="D176" s="5">
        <v>46112.99998842592</v>
      </c>
      <c r="E176" s="2" t="s">
        <v>39</v>
      </c>
      <c r="F176" s="3">
        <v>52584.0</v>
      </c>
      <c r="G176" s="2" t="s">
        <v>737</v>
      </c>
      <c r="H176" s="5">
        <v>44434.43460648148</v>
      </c>
      <c r="I176" s="2" t="s">
        <v>57</v>
      </c>
      <c r="J176" s="2" t="s">
        <v>347</v>
      </c>
      <c r="K176" s="2" t="s">
        <v>88</v>
      </c>
      <c r="L176" s="2" t="s">
        <v>44</v>
      </c>
      <c r="M176" s="2" t="s">
        <v>60</v>
      </c>
      <c r="N176" s="2" t="s">
        <v>100</v>
      </c>
      <c r="O176" s="2" t="s">
        <v>738</v>
      </c>
      <c r="P176" s="4">
        <v>46329.0</v>
      </c>
      <c r="Q176" s="3" t="s">
        <v>147</v>
      </c>
      <c r="R176" s="3">
        <v>2000.0</v>
      </c>
      <c r="S176" s="2" t="s">
        <v>321</v>
      </c>
      <c r="T176" s="2" t="s">
        <v>88</v>
      </c>
      <c r="U176" s="2" t="s">
        <v>149</v>
      </c>
      <c r="V176" s="2" t="s">
        <v>150</v>
      </c>
      <c r="W176" s="2" t="s">
        <v>51</v>
      </c>
      <c r="X176" s="2" t="s">
        <v>96</v>
      </c>
      <c r="Y176" s="2" t="s">
        <v>210</v>
      </c>
      <c r="Z176" s="3">
        <v>6.0</v>
      </c>
      <c r="AA176" s="2" t="s">
        <v>164</v>
      </c>
      <c r="AB176" s="3">
        <v>36.0</v>
      </c>
      <c r="AC176" s="3">
        <v>34.0</v>
      </c>
      <c r="AD176" s="7">
        <v>0.5515</v>
      </c>
      <c r="AE176" s="3">
        <v>75.0</v>
      </c>
      <c r="AF176" s="3">
        <v>4.0</v>
      </c>
      <c r="AG176" s="3">
        <v>0.0</v>
      </c>
      <c r="AH176" s="3">
        <v>3.0</v>
      </c>
      <c r="AI176" s="3">
        <v>1.0</v>
      </c>
      <c r="AJ176" s="3">
        <v>0.0</v>
      </c>
      <c r="AK176" s="3">
        <v>4.0</v>
      </c>
    </row>
    <row r="177">
      <c r="A177" s="2" t="s">
        <v>37</v>
      </c>
      <c r="B177" s="3">
        <v>38479.0</v>
      </c>
      <c r="C177" s="3" t="s">
        <v>739</v>
      </c>
      <c r="D177" s="3" t="s">
        <v>38</v>
      </c>
      <c r="E177" s="2" t="s">
        <v>72</v>
      </c>
      <c r="F177" s="3">
        <v>82636.0</v>
      </c>
      <c r="G177" s="2" t="s">
        <v>740</v>
      </c>
      <c r="H177" s="5">
        <v>45839.556122685186</v>
      </c>
      <c r="I177" s="2" t="s">
        <v>291</v>
      </c>
      <c r="J177" s="2" t="s">
        <v>42</v>
      </c>
      <c r="K177" s="2" t="s">
        <v>43</v>
      </c>
      <c r="L177" s="2" t="s">
        <v>44</v>
      </c>
      <c r="M177" s="2" t="s">
        <v>111</v>
      </c>
      <c r="N177" s="2" t="s">
        <v>741</v>
      </c>
      <c r="O177" s="2" t="s">
        <v>742</v>
      </c>
      <c r="P177" s="4">
        <v>46115.0</v>
      </c>
      <c r="Q177" s="4">
        <v>46115.0</v>
      </c>
      <c r="R177" s="3">
        <v>1771.0</v>
      </c>
      <c r="S177" s="2" t="s">
        <v>743</v>
      </c>
      <c r="T177" s="2" t="s">
        <v>48</v>
      </c>
      <c r="U177" s="2" t="s">
        <v>744</v>
      </c>
      <c r="V177" s="2" t="s">
        <v>382</v>
      </c>
      <c r="W177" s="2" t="s">
        <v>51</v>
      </c>
      <c r="X177" s="2" t="s">
        <v>52</v>
      </c>
      <c r="Y177" s="2" t="s">
        <v>53</v>
      </c>
      <c r="Z177" s="3">
        <v>8.0</v>
      </c>
      <c r="AA177" s="2" t="s">
        <v>318</v>
      </c>
      <c r="AB177" s="3">
        <v>5.0</v>
      </c>
      <c r="AC177" s="3">
        <v>5.0</v>
      </c>
      <c r="AD177" s="7">
        <v>1.0</v>
      </c>
      <c r="AE177" s="3">
        <v>5.0</v>
      </c>
      <c r="AF177" s="3">
        <v>1.0</v>
      </c>
      <c r="AG177" s="3">
        <v>0.0</v>
      </c>
      <c r="AH177" s="3">
        <v>1.0</v>
      </c>
      <c r="AI177" s="3">
        <v>0.0</v>
      </c>
      <c r="AJ177" s="3">
        <v>0.0</v>
      </c>
      <c r="AK177" s="3">
        <v>1.0</v>
      </c>
    </row>
    <row r="178">
      <c r="A178" s="2" t="s">
        <v>37</v>
      </c>
      <c r="B178" s="3">
        <v>40193.0</v>
      </c>
      <c r="C178" s="3" t="s">
        <v>55</v>
      </c>
      <c r="D178" s="3" t="s">
        <v>38</v>
      </c>
      <c r="E178" s="2" t="s">
        <v>39</v>
      </c>
      <c r="F178" s="3">
        <v>88779.0</v>
      </c>
      <c r="G178" s="2" t="s">
        <v>745</v>
      </c>
      <c r="H178" s="5">
        <v>46074.71181712963</v>
      </c>
      <c r="I178" s="2" t="s">
        <v>746</v>
      </c>
      <c r="J178" s="2" t="s">
        <v>42</v>
      </c>
      <c r="K178" s="2" t="s">
        <v>43</v>
      </c>
      <c r="L178" s="2" t="s">
        <v>44</v>
      </c>
      <c r="M178" s="2" t="s">
        <v>111</v>
      </c>
      <c r="N178" s="2" t="s">
        <v>747</v>
      </c>
      <c r="O178" s="2" t="s">
        <v>748</v>
      </c>
      <c r="P178" s="4">
        <v>46329.0</v>
      </c>
      <c r="Q178" s="3" t="s">
        <v>102</v>
      </c>
      <c r="R178" s="3">
        <v>1791.0</v>
      </c>
      <c r="S178" s="2" t="s">
        <v>64</v>
      </c>
      <c r="T178" s="2" t="s">
        <v>65</v>
      </c>
      <c r="U178" s="2" t="s">
        <v>66</v>
      </c>
      <c r="V178" s="2" t="s">
        <v>67</v>
      </c>
      <c r="W178" s="2" t="s">
        <v>68</v>
      </c>
      <c r="X178" s="2" t="s">
        <v>69</v>
      </c>
      <c r="Y178" s="2" t="s">
        <v>53</v>
      </c>
      <c r="Z178" s="3">
        <v>7.0</v>
      </c>
      <c r="AA178" s="2" t="s">
        <v>134</v>
      </c>
      <c r="AB178" s="3">
        <v>42.0</v>
      </c>
      <c r="AC178" s="3">
        <v>42.0</v>
      </c>
      <c r="AD178" s="7">
        <v>1.0</v>
      </c>
      <c r="AE178" s="3">
        <v>168.0</v>
      </c>
      <c r="AF178" s="3">
        <v>4.0</v>
      </c>
      <c r="AG178" s="3">
        <v>0.0</v>
      </c>
      <c r="AH178" s="3">
        <v>4.0</v>
      </c>
      <c r="AI178" s="3">
        <v>0.0</v>
      </c>
      <c r="AJ178" s="3">
        <v>0.0</v>
      </c>
      <c r="AK178" s="3">
        <v>4.0</v>
      </c>
    </row>
    <row r="179">
      <c r="A179" s="2" t="s">
        <v>37</v>
      </c>
      <c r="B179" s="3">
        <v>40075.0</v>
      </c>
      <c r="C179" s="3" t="s">
        <v>311</v>
      </c>
      <c r="D179" s="3" t="s">
        <v>38</v>
      </c>
      <c r="E179" s="2" t="s">
        <v>72</v>
      </c>
      <c r="F179" s="3">
        <v>87996.0</v>
      </c>
      <c r="G179" s="2" t="s">
        <v>749</v>
      </c>
      <c r="H179" s="5">
        <v>46030.769282407404</v>
      </c>
      <c r="I179" s="2" t="s">
        <v>57</v>
      </c>
      <c r="J179" s="2" t="s">
        <v>120</v>
      </c>
      <c r="K179" s="2" t="s">
        <v>121</v>
      </c>
      <c r="L179" s="2" t="s">
        <v>44</v>
      </c>
      <c r="M179" s="2" t="s">
        <v>77</v>
      </c>
      <c r="N179" s="2" t="s">
        <v>100</v>
      </c>
      <c r="O179" s="2" t="s">
        <v>750</v>
      </c>
      <c r="P179" s="4">
        <v>46056.0</v>
      </c>
      <c r="Q179" s="4">
        <v>46298.0</v>
      </c>
      <c r="R179" s="3">
        <v>2049.0</v>
      </c>
      <c r="S179" s="2" t="s">
        <v>315</v>
      </c>
      <c r="T179" s="2" t="s">
        <v>128</v>
      </c>
      <c r="U179" s="2" t="s">
        <v>316</v>
      </c>
      <c r="V179" s="2" t="s">
        <v>317</v>
      </c>
      <c r="W179" s="2" t="s">
        <v>51</v>
      </c>
      <c r="X179" s="2" t="s">
        <v>52</v>
      </c>
      <c r="Y179" s="2" t="s">
        <v>53</v>
      </c>
      <c r="Z179" s="3">
        <v>7.0</v>
      </c>
      <c r="AA179" s="2" t="s">
        <v>164</v>
      </c>
      <c r="AB179" s="3">
        <v>47.0</v>
      </c>
      <c r="AC179" s="3">
        <v>47.0</v>
      </c>
      <c r="AD179" s="7">
        <v>0.8298</v>
      </c>
      <c r="AE179" s="3">
        <v>156.0</v>
      </c>
      <c r="AF179" s="3">
        <v>4.0</v>
      </c>
      <c r="AG179" s="3">
        <v>0.0</v>
      </c>
      <c r="AH179" s="3">
        <v>4.0</v>
      </c>
      <c r="AI179" s="3">
        <v>0.0</v>
      </c>
      <c r="AJ179" s="3">
        <v>0.0</v>
      </c>
      <c r="AK179" s="3">
        <v>4.0</v>
      </c>
    </row>
    <row r="180">
      <c r="A180" s="2" t="s">
        <v>37</v>
      </c>
      <c r="B180" s="3">
        <v>37383.0</v>
      </c>
      <c r="C180" s="3" t="s">
        <v>85</v>
      </c>
      <c r="D180" s="3" t="s">
        <v>38</v>
      </c>
      <c r="E180" s="2" t="s">
        <v>39</v>
      </c>
      <c r="F180" s="3">
        <v>83870.0</v>
      </c>
      <c r="G180" s="2" t="s">
        <v>751</v>
      </c>
      <c r="H180" s="5">
        <v>45855.92023148148</v>
      </c>
      <c r="I180" s="2" t="s">
        <v>752</v>
      </c>
      <c r="J180" s="2" t="s">
        <v>351</v>
      </c>
      <c r="K180" s="2" t="s">
        <v>88</v>
      </c>
      <c r="L180" s="2" t="s">
        <v>44</v>
      </c>
      <c r="M180" s="2" t="s">
        <v>99</v>
      </c>
      <c r="N180" s="2" t="s">
        <v>753</v>
      </c>
      <c r="O180" s="2" t="s">
        <v>754</v>
      </c>
      <c r="P180" s="4">
        <v>46268.0</v>
      </c>
      <c r="Q180" s="3" t="s">
        <v>147</v>
      </c>
      <c r="R180" s="3">
        <v>1973.0</v>
      </c>
      <c r="S180" s="2" t="s">
        <v>93</v>
      </c>
      <c r="T180" s="2" t="s">
        <v>88</v>
      </c>
      <c r="U180" s="2" t="s">
        <v>94</v>
      </c>
      <c r="V180" s="2" t="s">
        <v>95</v>
      </c>
      <c r="W180" s="2" t="s">
        <v>51</v>
      </c>
      <c r="X180" s="2" t="s">
        <v>96</v>
      </c>
      <c r="Y180" s="2" t="s">
        <v>53</v>
      </c>
      <c r="Z180" s="3">
        <v>6.0</v>
      </c>
      <c r="AA180" s="2" t="s">
        <v>54</v>
      </c>
      <c r="AB180" s="3">
        <v>33.0</v>
      </c>
      <c r="AC180" s="3">
        <v>33.0</v>
      </c>
      <c r="AD180" s="7">
        <v>0.7071</v>
      </c>
      <c r="AE180" s="3">
        <v>140.0</v>
      </c>
      <c r="AF180" s="3">
        <v>6.0</v>
      </c>
      <c r="AG180" s="3">
        <v>0.0</v>
      </c>
      <c r="AH180" s="3">
        <v>6.0</v>
      </c>
      <c r="AI180" s="3">
        <v>0.0</v>
      </c>
      <c r="AJ180" s="3">
        <v>0.0</v>
      </c>
      <c r="AK180" s="3">
        <v>6.0</v>
      </c>
    </row>
    <row r="181">
      <c r="A181" s="2" t="s">
        <v>37</v>
      </c>
      <c r="B181" s="3">
        <v>39992.0</v>
      </c>
      <c r="C181" s="3" t="s">
        <v>755</v>
      </c>
      <c r="D181" s="3" t="s">
        <v>38</v>
      </c>
      <c r="E181" s="2" t="s">
        <v>72</v>
      </c>
      <c r="F181" s="3">
        <v>87204.0</v>
      </c>
      <c r="G181" s="2" t="s">
        <v>756</v>
      </c>
      <c r="H181" s="5">
        <v>45994.51321759259</v>
      </c>
      <c r="I181" s="2" t="s">
        <v>499</v>
      </c>
      <c r="J181" s="2" t="s">
        <v>42</v>
      </c>
      <c r="K181" s="2" t="s">
        <v>43</v>
      </c>
      <c r="L181" s="2" t="s">
        <v>44</v>
      </c>
      <c r="M181" s="2" t="s">
        <v>99</v>
      </c>
      <c r="N181" s="2" t="s">
        <v>757</v>
      </c>
      <c r="O181" s="2" t="s">
        <v>758</v>
      </c>
      <c r="P181" s="4">
        <v>46206.0</v>
      </c>
      <c r="Q181" s="4">
        <v>46206.0</v>
      </c>
      <c r="R181" s="3">
        <v>2044.0</v>
      </c>
      <c r="S181" s="2" t="s">
        <v>272</v>
      </c>
      <c r="T181" s="2" t="s">
        <v>43</v>
      </c>
      <c r="U181" s="2" t="s">
        <v>178</v>
      </c>
      <c r="V181" s="2" t="s">
        <v>179</v>
      </c>
      <c r="W181" s="2" t="s">
        <v>68</v>
      </c>
      <c r="X181" s="2" t="s">
        <v>172</v>
      </c>
      <c r="Y181" s="2" t="s">
        <v>53</v>
      </c>
      <c r="Z181" s="3">
        <v>5.0</v>
      </c>
      <c r="AA181" s="2" t="s">
        <v>180</v>
      </c>
      <c r="AB181" s="3">
        <v>38.0</v>
      </c>
      <c r="AC181" s="3">
        <v>38.0</v>
      </c>
      <c r="AD181" s="7">
        <v>0.8947</v>
      </c>
      <c r="AE181" s="3">
        <v>34.0</v>
      </c>
      <c r="AF181" s="3">
        <v>1.0</v>
      </c>
      <c r="AG181" s="3">
        <v>0.0</v>
      </c>
      <c r="AH181" s="3">
        <v>1.0</v>
      </c>
      <c r="AI181" s="3">
        <v>0.0</v>
      </c>
      <c r="AJ181" s="3">
        <v>0.0</v>
      </c>
      <c r="AK181" s="3">
        <v>1.0</v>
      </c>
    </row>
    <row r="182">
      <c r="A182" s="2" t="s">
        <v>37</v>
      </c>
      <c r="B182" s="3">
        <v>39993.0</v>
      </c>
      <c r="C182" s="3" t="s">
        <v>755</v>
      </c>
      <c r="D182" s="3" t="s">
        <v>38</v>
      </c>
      <c r="E182" s="2" t="s">
        <v>72</v>
      </c>
      <c r="F182" s="3">
        <v>87204.0</v>
      </c>
      <c r="G182" s="2" t="s">
        <v>756</v>
      </c>
      <c r="H182" s="5">
        <v>45994.51321759259</v>
      </c>
      <c r="I182" s="2" t="s">
        <v>499</v>
      </c>
      <c r="J182" s="2" t="s">
        <v>42</v>
      </c>
      <c r="K182" s="2" t="s">
        <v>43</v>
      </c>
      <c r="L182" s="2" t="s">
        <v>44</v>
      </c>
      <c r="M182" s="2" t="s">
        <v>99</v>
      </c>
      <c r="N182" s="2" t="s">
        <v>757</v>
      </c>
      <c r="O182" s="2" t="s">
        <v>758</v>
      </c>
      <c r="P182" s="4">
        <v>46206.0</v>
      </c>
      <c r="Q182" s="4">
        <v>46206.0</v>
      </c>
      <c r="R182" s="3">
        <v>2044.0</v>
      </c>
      <c r="S182" s="2" t="s">
        <v>272</v>
      </c>
      <c r="T182" s="2" t="s">
        <v>43</v>
      </c>
      <c r="U182" s="2" t="s">
        <v>178</v>
      </c>
      <c r="V182" s="2" t="s">
        <v>179</v>
      </c>
      <c r="W182" s="2" t="s">
        <v>68</v>
      </c>
      <c r="X182" s="2" t="s">
        <v>172</v>
      </c>
      <c r="Y182" s="2" t="s">
        <v>53</v>
      </c>
      <c r="Z182" s="3">
        <v>6.0</v>
      </c>
      <c r="AA182" s="2" t="s">
        <v>180</v>
      </c>
      <c r="AB182" s="3">
        <v>22.0</v>
      </c>
      <c r="AC182" s="3">
        <v>22.0</v>
      </c>
      <c r="AD182" s="7">
        <v>0.9545</v>
      </c>
      <c r="AE182" s="3">
        <v>21.0</v>
      </c>
      <c r="AF182" s="3">
        <v>1.0</v>
      </c>
      <c r="AG182" s="3">
        <v>0.0</v>
      </c>
      <c r="AH182" s="3">
        <v>1.0</v>
      </c>
      <c r="AI182" s="3">
        <v>0.0</v>
      </c>
      <c r="AJ182" s="3">
        <v>0.0</v>
      </c>
      <c r="AK182" s="3">
        <v>1.0</v>
      </c>
    </row>
    <row r="183">
      <c r="A183" s="2" t="s">
        <v>37</v>
      </c>
      <c r="B183" s="3">
        <v>39994.0</v>
      </c>
      <c r="C183" s="3" t="s">
        <v>755</v>
      </c>
      <c r="D183" s="3" t="s">
        <v>38</v>
      </c>
      <c r="E183" s="2" t="s">
        <v>72</v>
      </c>
      <c r="F183" s="3">
        <v>87204.0</v>
      </c>
      <c r="G183" s="2" t="s">
        <v>756</v>
      </c>
      <c r="H183" s="5">
        <v>45994.51321759259</v>
      </c>
      <c r="I183" s="2" t="s">
        <v>499</v>
      </c>
      <c r="J183" s="2" t="s">
        <v>42</v>
      </c>
      <c r="K183" s="2" t="s">
        <v>43</v>
      </c>
      <c r="L183" s="2" t="s">
        <v>44</v>
      </c>
      <c r="M183" s="2" t="s">
        <v>99</v>
      </c>
      <c r="N183" s="2" t="s">
        <v>757</v>
      </c>
      <c r="O183" s="2" t="s">
        <v>758</v>
      </c>
      <c r="P183" s="4">
        <v>46176.0</v>
      </c>
      <c r="Q183" s="4">
        <v>46176.0</v>
      </c>
      <c r="R183" s="3">
        <v>2044.0</v>
      </c>
      <c r="S183" s="2" t="s">
        <v>272</v>
      </c>
      <c r="T183" s="2" t="s">
        <v>43</v>
      </c>
      <c r="U183" s="2" t="s">
        <v>178</v>
      </c>
      <c r="V183" s="2" t="s">
        <v>179</v>
      </c>
      <c r="W183" s="2" t="s">
        <v>68</v>
      </c>
      <c r="X183" s="2" t="s">
        <v>172</v>
      </c>
      <c r="Y183" s="2" t="s">
        <v>53</v>
      </c>
      <c r="Z183" s="3">
        <v>7.0</v>
      </c>
      <c r="AA183" s="2" t="s">
        <v>180</v>
      </c>
      <c r="AB183" s="3">
        <v>43.0</v>
      </c>
      <c r="AC183" s="3">
        <v>43.0</v>
      </c>
      <c r="AD183" s="7">
        <v>1.0</v>
      </c>
      <c r="AE183" s="3">
        <v>43.0</v>
      </c>
      <c r="AF183" s="3">
        <v>1.0</v>
      </c>
      <c r="AG183" s="3">
        <v>0.0</v>
      </c>
      <c r="AH183" s="3">
        <v>1.0</v>
      </c>
      <c r="AI183" s="3">
        <v>0.0</v>
      </c>
      <c r="AJ183" s="3">
        <v>0.0</v>
      </c>
      <c r="AK183" s="3">
        <v>1.0</v>
      </c>
    </row>
    <row r="184">
      <c r="A184" s="2" t="s">
        <v>37</v>
      </c>
      <c r="B184" s="3">
        <v>37024.0</v>
      </c>
      <c r="C184" s="3" t="s">
        <v>645</v>
      </c>
      <c r="D184" s="3" t="s">
        <v>38</v>
      </c>
      <c r="E184" s="2" t="s">
        <v>39</v>
      </c>
      <c r="F184" s="3">
        <v>65167.0</v>
      </c>
      <c r="G184" s="2" t="s">
        <v>759</v>
      </c>
      <c r="H184" s="5">
        <v>45092.48763888889</v>
      </c>
      <c r="I184" s="2" t="s">
        <v>760</v>
      </c>
      <c r="J184" s="2" t="s">
        <v>761</v>
      </c>
      <c r="K184" s="2" t="s">
        <v>48</v>
      </c>
      <c r="L184" s="2" t="s">
        <v>44</v>
      </c>
      <c r="M184" s="2" t="s">
        <v>111</v>
      </c>
      <c r="N184" s="2" t="s">
        <v>374</v>
      </c>
      <c r="O184" s="2" t="s">
        <v>762</v>
      </c>
      <c r="P184" s="4">
        <v>46176.0</v>
      </c>
      <c r="Q184" s="3" t="s">
        <v>194</v>
      </c>
      <c r="R184" s="3">
        <v>1699.0</v>
      </c>
      <c r="S184" s="2" t="s">
        <v>343</v>
      </c>
      <c r="T184" s="2" t="s">
        <v>48</v>
      </c>
      <c r="U184" s="2" t="s">
        <v>49</v>
      </c>
      <c r="V184" s="2" t="s">
        <v>50</v>
      </c>
      <c r="W184" s="2" t="s">
        <v>51</v>
      </c>
      <c r="X184" s="2" t="s">
        <v>52</v>
      </c>
      <c r="Y184" s="2" t="s">
        <v>53</v>
      </c>
      <c r="Z184" s="3">
        <v>6.0</v>
      </c>
      <c r="AA184" s="2" t="s">
        <v>54</v>
      </c>
      <c r="AB184" s="3">
        <v>28.0</v>
      </c>
      <c r="AC184" s="3">
        <v>28.0</v>
      </c>
      <c r="AD184" s="7">
        <v>0.9762</v>
      </c>
      <c r="AE184" s="3">
        <v>82.0</v>
      </c>
      <c r="AF184" s="3">
        <v>3.0</v>
      </c>
      <c r="AG184" s="3">
        <v>0.0</v>
      </c>
      <c r="AH184" s="3">
        <v>2.0</v>
      </c>
      <c r="AI184" s="3">
        <v>1.0</v>
      </c>
      <c r="AJ184" s="3">
        <v>0.0</v>
      </c>
      <c r="AK184" s="3">
        <v>3.0</v>
      </c>
    </row>
    <row r="185">
      <c r="A185" s="2" t="s">
        <v>37</v>
      </c>
      <c r="B185" s="3">
        <v>38848.0</v>
      </c>
      <c r="C185" s="3" t="s">
        <v>106</v>
      </c>
      <c r="D185" s="3" t="s">
        <v>38</v>
      </c>
      <c r="E185" s="2" t="s">
        <v>39</v>
      </c>
      <c r="F185" s="3">
        <v>47479.0</v>
      </c>
      <c r="G185" s="2" t="s">
        <v>763</v>
      </c>
      <c r="H185" s="5">
        <v>44287.46696759259</v>
      </c>
      <c r="I185" s="2" t="s">
        <v>57</v>
      </c>
      <c r="J185" s="2" t="s">
        <v>42</v>
      </c>
      <c r="K185" s="2" t="s">
        <v>43</v>
      </c>
      <c r="L185" s="2" t="s">
        <v>44</v>
      </c>
      <c r="M185" s="2" t="s">
        <v>764</v>
      </c>
      <c r="N185" s="2" t="s">
        <v>753</v>
      </c>
      <c r="O185" s="2" t="s">
        <v>765</v>
      </c>
      <c r="P185" s="4">
        <v>46145.0</v>
      </c>
      <c r="Q185" s="3" t="s">
        <v>194</v>
      </c>
      <c r="R185" s="3">
        <v>1701.0</v>
      </c>
      <c r="S185" s="2" t="s">
        <v>490</v>
      </c>
      <c r="T185" s="2" t="s">
        <v>110</v>
      </c>
      <c r="U185" s="2" t="s">
        <v>187</v>
      </c>
      <c r="V185" s="2" t="s">
        <v>116</v>
      </c>
      <c r="W185" s="2" t="s">
        <v>51</v>
      </c>
      <c r="X185" s="2" t="s">
        <v>117</v>
      </c>
      <c r="Y185" s="2" t="s">
        <v>188</v>
      </c>
      <c r="Z185" s="3">
        <v>7.0</v>
      </c>
      <c r="AA185" s="2" t="s">
        <v>164</v>
      </c>
      <c r="AB185" s="3">
        <v>35.0</v>
      </c>
      <c r="AC185" s="3">
        <v>34.0</v>
      </c>
      <c r="AD185" s="7">
        <v>1.0</v>
      </c>
      <c r="AE185" s="3">
        <v>136.0</v>
      </c>
      <c r="AF185" s="3">
        <v>4.0</v>
      </c>
      <c r="AG185" s="3">
        <v>0.0</v>
      </c>
      <c r="AH185" s="3">
        <v>4.0</v>
      </c>
      <c r="AI185" s="3">
        <v>0.0</v>
      </c>
      <c r="AJ185" s="3">
        <v>0.0</v>
      </c>
      <c r="AK185" s="3">
        <v>4.0</v>
      </c>
    </row>
    <row r="186">
      <c r="A186" s="2" t="s">
        <v>37</v>
      </c>
      <c r="B186" s="3">
        <v>37038.0</v>
      </c>
      <c r="C186" s="3" t="s">
        <v>337</v>
      </c>
      <c r="D186" s="3" t="s">
        <v>38</v>
      </c>
      <c r="E186" s="2" t="s">
        <v>39</v>
      </c>
      <c r="F186" s="3">
        <v>58652.0</v>
      </c>
      <c r="G186" s="2" t="s">
        <v>766</v>
      </c>
      <c r="H186" s="5">
        <v>44756.27413194445</v>
      </c>
      <c r="I186" s="2" t="s">
        <v>767</v>
      </c>
      <c r="J186" s="2" t="s">
        <v>704</v>
      </c>
      <c r="K186" s="2" t="s">
        <v>48</v>
      </c>
      <c r="L186" s="2" t="s">
        <v>44</v>
      </c>
      <c r="M186" s="2" t="s">
        <v>111</v>
      </c>
      <c r="N186" s="2" t="s">
        <v>157</v>
      </c>
      <c r="O186" s="2" t="s">
        <v>768</v>
      </c>
      <c r="P186" s="4">
        <v>46176.0</v>
      </c>
      <c r="Q186" s="3" t="s">
        <v>194</v>
      </c>
      <c r="R186" s="3">
        <v>1693.0</v>
      </c>
      <c r="S186" s="2" t="s">
        <v>342</v>
      </c>
      <c r="T186" s="2" t="s">
        <v>48</v>
      </c>
      <c r="U186" s="2" t="s">
        <v>49</v>
      </c>
      <c r="V186" s="2" t="s">
        <v>50</v>
      </c>
      <c r="W186" s="2" t="s">
        <v>51</v>
      </c>
      <c r="X186" s="2" t="s">
        <v>52</v>
      </c>
      <c r="Y186" s="2" t="s">
        <v>53</v>
      </c>
      <c r="Z186" s="3">
        <v>7.0</v>
      </c>
      <c r="AA186" s="2" t="s">
        <v>164</v>
      </c>
      <c r="AB186" s="3">
        <v>35.0</v>
      </c>
      <c r="AC186" s="3">
        <v>30.0</v>
      </c>
      <c r="AD186" s="7">
        <v>0.6444</v>
      </c>
      <c r="AE186" s="3">
        <v>58.0</v>
      </c>
      <c r="AF186" s="3">
        <v>3.0</v>
      </c>
      <c r="AG186" s="3">
        <v>0.0</v>
      </c>
      <c r="AH186" s="3">
        <v>3.0</v>
      </c>
      <c r="AI186" s="3">
        <v>0.0</v>
      </c>
      <c r="AJ186" s="3">
        <v>0.0</v>
      </c>
      <c r="AK186" s="3">
        <v>3.0</v>
      </c>
    </row>
    <row r="187">
      <c r="A187" s="2" t="s">
        <v>37</v>
      </c>
      <c r="B187" s="3">
        <v>37053.0</v>
      </c>
      <c r="C187" s="3" t="s">
        <v>196</v>
      </c>
      <c r="D187" s="3" t="s">
        <v>38</v>
      </c>
      <c r="E187" s="2" t="s">
        <v>39</v>
      </c>
      <c r="F187" s="3">
        <v>84865.0</v>
      </c>
      <c r="G187" s="2" t="s">
        <v>769</v>
      </c>
      <c r="H187" s="5">
        <v>45887.60192129629</v>
      </c>
      <c r="I187" s="2" t="s">
        <v>57</v>
      </c>
      <c r="J187" s="2" t="s">
        <v>127</v>
      </c>
      <c r="K187" s="2" t="s">
        <v>128</v>
      </c>
      <c r="L187" s="2" t="s">
        <v>44</v>
      </c>
      <c r="M187" s="2" t="s">
        <v>205</v>
      </c>
      <c r="N187" s="2" t="s">
        <v>705</v>
      </c>
      <c r="O187" s="2" t="s">
        <v>770</v>
      </c>
      <c r="P187" s="4">
        <v>46176.0</v>
      </c>
      <c r="Q187" s="3" t="s">
        <v>194</v>
      </c>
      <c r="R187" s="3">
        <v>1711.0</v>
      </c>
      <c r="S187" s="2" t="s">
        <v>344</v>
      </c>
      <c r="T187" s="2" t="s">
        <v>48</v>
      </c>
      <c r="U187" s="2" t="s">
        <v>49</v>
      </c>
      <c r="V187" s="2" t="s">
        <v>50</v>
      </c>
      <c r="W187" s="2" t="s">
        <v>51</v>
      </c>
      <c r="X187" s="2" t="s">
        <v>52</v>
      </c>
      <c r="Y187" s="2" t="s">
        <v>53</v>
      </c>
      <c r="Z187" s="3">
        <v>8.0</v>
      </c>
      <c r="AA187" s="2" t="s">
        <v>54</v>
      </c>
      <c r="AB187" s="3">
        <v>29.0</v>
      </c>
      <c r="AC187" s="3">
        <v>29.0</v>
      </c>
      <c r="AD187" s="7">
        <v>0.954</v>
      </c>
      <c r="AE187" s="3">
        <v>83.0</v>
      </c>
      <c r="AF187" s="3">
        <v>3.0</v>
      </c>
      <c r="AG187" s="3">
        <v>0.0</v>
      </c>
      <c r="AH187" s="3">
        <v>3.0</v>
      </c>
      <c r="AI187" s="3">
        <v>0.0</v>
      </c>
      <c r="AJ187" s="3">
        <v>0.0</v>
      </c>
      <c r="AK187" s="3">
        <v>3.0</v>
      </c>
    </row>
    <row r="188">
      <c r="A188" s="2" t="s">
        <v>37</v>
      </c>
      <c r="B188" s="3">
        <v>38477.0</v>
      </c>
      <c r="C188" s="3" t="s">
        <v>739</v>
      </c>
      <c r="D188" s="3" t="s">
        <v>38</v>
      </c>
      <c r="E188" s="2" t="s">
        <v>39</v>
      </c>
      <c r="F188" s="3">
        <v>58832.0</v>
      </c>
      <c r="G188" s="2" t="s">
        <v>771</v>
      </c>
      <c r="H188" s="5">
        <v>44757.30342592593</v>
      </c>
      <c r="I188" s="2" t="s">
        <v>57</v>
      </c>
      <c r="J188" s="2" t="s">
        <v>772</v>
      </c>
      <c r="K188" s="2" t="s">
        <v>48</v>
      </c>
      <c r="L188" s="2" t="s">
        <v>44</v>
      </c>
      <c r="M188" s="2" t="s">
        <v>111</v>
      </c>
      <c r="N188" s="2" t="s">
        <v>157</v>
      </c>
      <c r="O188" s="2" t="s">
        <v>773</v>
      </c>
      <c r="P188" s="4">
        <v>46056.0</v>
      </c>
      <c r="Q188" s="4">
        <v>46298.0</v>
      </c>
      <c r="R188" s="3">
        <v>1771.0</v>
      </c>
      <c r="S188" s="2" t="s">
        <v>743</v>
      </c>
      <c r="T188" s="2" t="s">
        <v>48</v>
      </c>
      <c r="U188" s="2" t="s">
        <v>744</v>
      </c>
      <c r="V188" s="2" t="s">
        <v>382</v>
      </c>
      <c r="W188" s="2" t="s">
        <v>51</v>
      </c>
      <c r="X188" s="2" t="s">
        <v>52</v>
      </c>
      <c r="Y188" s="2" t="s">
        <v>53</v>
      </c>
      <c r="Z188" s="3">
        <v>6.0</v>
      </c>
      <c r="AA188" s="2" t="s">
        <v>318</v>
      </c>
      <c r="AB188" s="3">
        <v>15.0</v>
      </c>
      <c r="AC188" s="3">
        <v>15.0</v>
      </c>
      <c r="AD188" s="7">
        <v>0.95</v>
      </c>
      <c r="AE188" s="3">
        <v>57.0</v>
      </c>
      <c r="AF188" s="3">
        <v>4.0</v>
      </c>
      <c r="AG188" s="3">
        <v>0.0</v>
      </c>
      <c r="AH188" s="3">
        <v>4.0</v>
      </c>
      <c r="AI188" s="3">
        <v>0.0</v>
      </c>
      <c r="AJ188" s="3">
        <v>0.0</v>
      </c>
      <c r="AK188" s="3">
        <v>4.0</v>
      </c>
    </row>
    <row r="189">
      <c r="A189" s="2" t="s">
        <v>37</v>
      </c>
      <c r="B189" s="3">
        <v>38818.0</v>
      </c>
      <c r="C189" s="3" t="s">
        <v>106</v>
      </c>
      <c r="D189" s="3" t="s">
        <v>38</v>
      </c>
      <c r="E189" s="2" t="s">
        <v>39</v>
      </c>
      <c r="F189" s="3">
        <v>21638.0</v>
      </c>
      <c r="G189" s="2" t="s">
        <v>774</v>
      </c>
      <c r="H189" s="5">
        <v>43129.9825462963</v>
      </c>
      <c r="I189" s="2" t="s">
        <v>53</v>
      </c>
      <c r="J189" s="2" t="s">
        <v>42</v>
      </c>
      <c r="K189" s="2" t="s">
        <v>43</v>
      </c>
      <c r="L189" s="2" t="s">
        <v>44</v>
      </c>
      <c r="M189" s="2" t="s">
        <v>775</v>
      </c>
      <c r="O189" s="2" t="s">
        <v>776</v>
      </c>
      <c r="P189" s="4">
        <v>46056.0</v>
      </c>
      <c r="Q189" s="4">
        <v>46329.0</v>
      </c>
      <c r="R189" s="3">
        <v>1331.0</v>
      </c>
      <c r="S189" s="2" t="s">
        <v>611</v>
      </c>
      <c r="T189" s="2" t="s">
        <v>110</v>
      </c>
      <c r="U189" s="2" t="s">
        <v>115</v>
      </c>
      <c r="V189" s="2" t="s">
        <v>116</v>
      </c>
      <c r="W189" s="2" t="s">
        <v>51</v>
      </c>
      <c r="X189" s="2" t="s">
        <v>117</v>
      </c>
      <c r="Y189" s="2" t="s">
        <v>188</v>
      </c>
      <c r="Z189" s="3">
        <v>6.0</v>
      </c>
      <c r="AA189" s="2" t="s">
        <v>164</v>
      </c>
      <c r="AB189" s="3">
        <v>19.0</v>
      </c>
      <c r="AC189" s="3">
        <v>19.0</v>
      </c>
      <c r="AD189" s="7">
        <v>0.9737</v>
      </c>
      <c r="AE189" s="3">
        <v>74.0</v>
      </c>
      <c r="AF189" s="3">
        <v>4.0</v>
      </c>
      <c r="AG189" s="3">
        <v>0.0</v>
      </c>
      <c r="AH189" s="3">
        <v>4.0</v>
      </c>
      <c r="AI189" s="3">
        <v>0.0</v>
      </c>
      <c r="AJ189" s="3">
        <v>0.0</v>
      </c>
      <c r="AK189" s="3">
        <v>4.0</v>
      </c>
    </row>
    <row r="190">
      <c r="A190" s="2" t="s">
        <v>37</v>
      </c>
      <c r="B190" s="3">
        <v>36977.0</v>
      </c>
      <c r="C190" s="4">
        <v>45662.0</v>
      </c>
      <c r="D190" s="3" t="s">
        <v>38</v>
      </c>
      <c r="E190" s="2" t="s">
        <v>72</v>
      </c>
      <c r="F190" s="3">
        <v>74030.0</v>
      </c>
      <c r="G190" s="2" t="s">
        <v>777</v>
      </c>
      <c r="H190" s="5">
        <v>45481.45217592592</v>
      </c>
      <c r="I190" s="2" t="s">
        <v>57</v>
      </c>
      <c r="J190" s="2" t="s">
        <v>120</v>
      </c>
      <c r="K190" s="2" t="s">
        <v>121</v>
      </c>
      <c r="L190" s="2" t="s">
        <v>44</v>
      </c>
      <c r="M190" s="2" t="s">
        <v>111</v>
      </c>
      <c r="N190" s="2" t="s">
        <v>778</v>
      </c>
      <c r="O190" s="2" t="s">
        <v>779</v>
      </c>
      <c r="P190" s="4">
        <v>46056.0</v>
      </c>
      <c r="Q190" s="4">
        <v>46056.0</v>
      </c>
      <c r="R190" s="3">
        <v>1763.0</v>
      </c>
      <c r="S190" s="2" t="s">
        <v>325</v>
      </c>
      <c r="T190" s="2" t="s">
        <v>81</v>
      </c>
      <c r="U190" s="2" t="s">
        <v>140</v>
      </c>
      <c r="V190" s="2" t="s">
        <v>83</v>
      </c>
      <c r="W190" s="2" t="s">
        <v>68</v>
      </c>
      <c r="X190" s="2" t="s">
        <v>69</v>
      </c>
      <c r="Y190" s="2" t="s">
        <v>53</v>
      </c>
      <c r="Z190" s="3">
        <v>6.0</v>
      </c>
      <c r="AA190" s="2" t="s">
        <v>180</v>
      </c>
      <c r="AB190" s="3">
        <v>27.0</v>
      </c>
      <c r="AC190" s="3">
        <v>27.0</v>
      </c>
      <c r="AD190" s="7">
        <v>1.0</v>
      </c>
      <c r="AE190" s="3">
        <v>27.0</v>
      </c>
      <c r="AF190" s="3">
        <v>1.0</v>
      </c>
      <c r="AG190" s="3">
        <v>0.0</v>
      </c>
      <c r="AH190" s="3">
        <v>0.0</v>
      </c>
      <c r="AI190" s="3">
        <v>1.0</v>
      </c>
      <c r="AJ190" s="3">
        <v>0.0</v>
      </c>
      <c r="AK190" s="3">
        <v>1.0</v>
      </c>
    </row>
    <row r="191">
      <c r="A191" s="2" t="s">
        <v>37</v>
      </c>
      <c r="B191" s="3">
        <v>38835.0</v>
      </c>
      <c r="C191" s="3" t="s">
        <v>106</v>
      </c>
      <c r="D191" s="3" t="s">
        <v>38</v>
      </c>
      <c r="E191" s="2" t="s">
        <v>39</v>
      </c>
      <c r="F191" s="3">
        <v>47112.0</v>
      </c>
      <c r="G191" s="2" t="s">
        <v>780</v>
      </c>
      <c r="H191" s="5">
        <v>44273.30045138889</v>
      </c>
      <c r="I191" s="2" t="s">
        <v>57</v>
      </c>
      <c r="J191" s="2" t="s">
        <v>191</v>
      </c>
      <c r="K191" s="2" t="s">
        <v>110</v>
      </c>
      <c r="L191" s="2" t="s">
        <v>44</v>
      </c>
      <c r="M191" s="2" t="s">
        <v>45</v>
      </c>
      <c r="N191" s="2" t="s">
        <v>400</v>
      </c>
      <c r="O191" s="2" t="s">
        <v>781</v>
      </c>
      <c r="P191" s="4">
        <v>46056.0</v>
      </c>
      <c r="Q191" s="4">
        <v>46359.0</v>
      </c>
      <c r="R191" s="3">
        <v>1336.0</v>
      </c>
      <c r="S191" s="2" t="s">
        <v>782</v>
      </c>
      <c r="T191" s="2" t="s">
        <v>110</v>
      </c>
      <c r="U191" s="2" t="s">
        <v>115</v>
      </c>
      <c r="V191" s="2" t="s">
        <v>116</v>
      </c>
      <c r="W191" s="2" t="s">
        <v>51</v>
      </c>
      <c r="X191" s="2" t="s">
        <v>117</v>
      </c>
      <c r="Y191" s="2" t="s">
        <v>53</v>
      </c>
      <c r="Z191" s="3">
        <v>7.0</v>
      </c>
      <c r="AA191" s="2" t="s">
        <v>54</v>
      </c>
      <c r="AB191" s="3">
        <v>39.0</v>
      </c>
      <c r="AC191" s="3">
        <v>39.0</v>
      </c>
      <c r="AD191" s="7">
        <v>0.9744</v>
      </c>
      <c r="AE191" s="3">
        <v>152.0</v>
      </c>
      <c r="AF191" s="3">
        <v>4.0</v>
      </c>
      <c r="AG191" s="3">
        <v>0.0</v>
      </c>
      <c r="AH191" s="3">
        <v>4.0</v>
      </c>
      <c r="AI191" s="3">
        <v>0.0</v>
      </c>
      <c r="AJ191" s="3">
        <v>0.0</v>
      </c>
      <c r="AK191" s="3">
        <v>4.0</v>
      </c>
    </row>
    <row r="192">
      <c r="A192" s="2" t="s">
        <v>37</v>
      </c>
      <c r="B192" s="3">
        <v>39750.0</v>
      </c>
      <c r="C192" s="4">
        <v>45819.0</v>
      </c>
      <c r="D192" s="3" t="s">
        <v>38</v>
      </c>
      <c r="E192" s="2" t="s">
        <v>39</v>
      </c>
      <c r="F192" s="3">
        <v>47112.0</v>
      </c>
      <c r="G192" s="2" t="s">
        <v>780</v>
      </c>
      <c r="H192" s="5">
        <v>44273.30045138889</v>
      </c>
      <c r="I192" s="2" t="s">
        <v>57</v>
      </c>
      <c r="J192" s="2" t="s">
        <v>191</v>
      </c>
      <c r="K192" s="2" t="s">
        <v>110</v>
      </c>
      <c r="L192" s="2" t="s">
        <v>44</v>
      </c>
      <c r="M192" s="2" t="s">
        <v>45</v>
      </c>
      <c r="N192" s="2" t="s">
        <v>400</v>
      </c>
      <c r="O192" s="2" t="s">
        <v>781</v>
      </c>
      <c r="P192" s="4">
        <v>46084.0</v>
      </c>
      <c r="Q192" s="3" t="s">
        <v>194</v>
      </c>
      <c r="R192" s="3">
        <v>1336.0</v>
      </c>
      <c r="S192" s="2" t="s">
        <v>782</v>
      </c>
      <c r="T192" s="2" t="s">
        <v>110</v>
      </c>
      <c r="U192" s="2" t="s">
        <v>115</v>
      </c>
      <c r="V192" s="2" t="s">
        <v>116</v>
      </c>
      <c r="W192" s="2" t="s">
        <v>51</v>
      </c>
      <c r="X192" s="2" t="s">
        <v>117</v>
      </c>
      <c r="Y192" s="2" t="s">
        <v>53</v>
      </c>
      <c r="Z192" s="3">
        <v>8.0</v>
      </c>
      <c r="AA192" s="2" t="s">
        <v>54</v>
      </c>
      <c r="AB192" s="3">
        <v>44.0</v>
      </c>
      <c r="AC192" s="3">
        <v>44.0</v>
      </c>
      <c r="AD192" s="7">
        <v>0.9773</v>
      </c>
      <c r="AE192" s="3">
        <v>172.0</v>
      </c>
      <c r="AF192" s="3">
        <v>4.0</v>
      </c>
      <c r="AG192" s="3">
        <v>0.0</v>
      </c>
      <c r="AH192" s="3">
        <v>4.0</v>
      </c>
      <c r="AI192" s="3">
        <v>0.0</v>
      </c>
      <c r="AJ192" s="3">
        <v>0.0</v>
      </c>
      <c r="AK192" s="3">
        <v>4.0</v>
      </c>
    </row>
    <row r="193">
      <c r="A193" s="2" t="s">
        <v>37</v>
      </c>
      <c r="B193" s="3">
        <v>36854.0</v>
      </c>
      <c r="C193" s="3" t="s">
        <v>71</v>
      </c>
      <c r="D193" s="3" t="s">
        <v>38</v>
      </c>
      <c r="E193" s="2" t="s">
        <v>72</v>
      </c>
      <c r="F193" s="3">
        <v>73200.0</v>
      </c>
      <c r="G193" s="2" t="s">
        <v>783</v>
      </c>
      <c r="H193" s="5">
        <v>45461.52625</v>
      </c>
      <c r="I193" s="2" t="s">
        <v>57</v>
      </c>
      <c r="J193" s="2" t="s">
        <v>398</v>
      </c>
      <c r="K193" s="2" t="s">
        <v>81</v>
      </c>
      <c r="L193" s="2" t="s">
        <v>44</v>
      </c>
      <c r="M193" s="2" t="s">
        <v>89</v>
      </c>
      <c r="N193" s="2" t="s">
        <v>298</v>
      </c>
      <c r="O193" s="2" t="s">
        <v>784</v>
      </c>
      <c r="P193" s="4">
        <v>46206.0</v>
      </c>
      <c r="Q193" s="4">
        <v>46206.0</v>
      </c>
      <c r="R193" s="3">
        <v>1766.0</v>
      </c>
      <c r="S193" s="2" t="s">
        <v>482</v>
      </c>
      <c r="T193" s="2" t="s">
        <v>81</v>
      </c>
      <c r="U193" s="2" t="s">
        <v>416</v>
      </c>
      <c r="V193" s="2" t="s">
        <v>83</v>
      </c>
      <c r="W193" s="2" t="s">
        <v>68</v>
      </c>
      <c r="X193" s="2" t="s">
        <v>69</v>
      </c>
      <c r="Y193" s="2" t="s">
        <v>53</v>
      </c>
      <c r="Z193" s="3">
        <v>9.0</v>
      </c>
      <c r="AA193" s="2" t="s">
        <v>84</v>
      </c>
      <c r="AB193" s="3">
        <v>28.0</v>
      </c>
      <c r="AC193" s="3">
        <v>28.0</v>
      </c>
      <c r="AD193" s="7">
        <v>0.8214</v>
      </c>
      <c r="AE193" s="3">
        <v>23.0</v>
      </c>
      <c r="AF193" s="3">
        <v>1.0</v>
      </c>
      <c r="AG193" s="3">
        <v>0.0</v>
      </c>
      <c r="AH193" s="3">
        <v>1.0</v>
      </c>
      <c r="AI193" s="3">
        <v>0.0</v>
      </c>
      <c r="AJ193" s="3">
        <v>0.0</v>
      </c>
      <c r="AK193" s="3">
        <v>1.0</v>
      </c>
    </row>
    <row r="194">
      <c r="A194" s="2" t="s">
        <v>37</v>
      </c>
      <c r="B194" s="3">
        <v>36870.0</v>
      </c>
      <c r="C194" s="3" t="s">
        <v>302</v>
      </c>
      <c r="D194" s="3" t="s">
        <v>38</v>
      </c>
      <c r="E194" s="2" t="s">
        <v>72</v>
      </c>
      <c r="F194" s="3">
        <v>73200.0</v>
      </c>
      <c r="G194" s="2" t="s">
        <v>783</v>
      </c>
      <c r="H194" s="5">
        <v>45461.52625</v>
      </c>
      <c r="I194" s="2" t="s">
        <v>57</v>
      </c>
      <c r="J194" s="2" t="s">
        <v>398</v>
      </c>
      <c r="K194" s="2" t="s">
        <v>81</v>
      </c>
      <c r="L194" s="2" t="s">
        <v>44</v>
      </c>
      <c r="M194" s="2" t="s">
        <v>89</v>
      </c>
      <c r="N194" s="2" t="s">
        <v>298</v>
      </c>
      <c r="O194" s="2" t="s">
        <v>784</v>
      </c>
      <c r="P194" s="4">
        <v>46145.0</v>
      </c>
      <c r="Q194" s="4">
        <v>46145.0</v>
      </c>
      <c r="R194" s="3">
        <v>1766.0</v>
      </c>
      <c r="S194" s="2" t="s">
        <v>482</v>
      </c>
      <c r="T194" s="2" t="s">
        <v>81</v>
      </c>
      <c r="U194" s="2" t="s">
        <v>416</v>
      </c>
      <c r="V194" s="2" t="s">
        <v>83</v>
      </c>
      <c r="W194" s="2" t="s">
        <v>68</v>
      </c>
      <c r="X194" s="2" t="s">
        <v>69</v>
      </c>
      <c r="Y194" s="2" t="s">
        <v>53</v>
      </c>
      <c r="Z194" s="3">
        <v>7.0</v>
      </c>
      <c r="AA194" s="2" t="s">
        <v>141</v>
      </c>
      <c r="AB194" s="3">
        <v>37.0</v>
      </c>
      <c r="AC194" s="3">
        <v>37.0</v>
      </c>
      <c r="AD194" s="7">
        <v>0.6757</v>
      </c>
      <c r="AE194" s="3">
        <v>25.0</v>
      </c>
      <c r="AF194" s="3">
        <v>1.0</v>
      </c>
      <c r="AG194" s="3">
        <v>0.0</v>
      </c>
      <c r="AH194" s="3">
        <v>0.0</v>
      </c>
      <c r="AI194" s="3">
        <v>1.0</v>
      </c>
      <c r="AJ194" s="3">
        <v>0.0</v>
      </c>
      <c r="AK194" s="3">
        <v>1.0</v>
      </c>
    </row>
    <row r="195">
      <c r="A195" s="2" t="s">
        <v>37</v>
      </c>
      <c r="B195" s="3">
        <v>36871.0</v>
      </c>
      <c r="C195" s="3" t="s">
        <v>302</v>
      </c>
      <c r="D195" s="3" t="s">
        <v>38</v>
      </c>
      <c r="E195" s="2" t="s">
        <v>72</v>
      </c>
      <c r="F195" s="3">
        <v>73200.0</v>
      </c>
      <c r="G195" s="2" t="s">
        <v>783</v>
      </c>
      <c r="H195" s="5">
        <v>45461.52625</v>
      </c>
      <c r="I195" s="2" t="s">
        <v>57</v>
      </c>
      <c r="J195" s="2" t="s">
        <v>398</v>
      </c>
      <c r="K195" s="2" t="s">
        <v>81</v>
      </c>
      <c r="L195" s="2" t="s">
        <v>44</v>
      </c>
      <c r="M195" s="2" t="s">
        <v>89</v>
      </c>
      <c r="N195" s="2" t="s">
        <v>298</v>
      </c>
      <c r="O195" s="2" t="s">
        <v>784</v>
      </c>
      <c r="P195" s="4">
        <v>46206.0</v>
      </c>
      <c r="Q195" s="4">
        <v>46206.0</v>
      </c>
      <c r="R195" s="3">
        <v>1766.0</v>
      </c>
      <c r="S195" s="2" t="s">
        <v>482</v>
      </c>
      <c r="T195" s="2" t="s">
        <v>81</v>
      </c>
      <c r="U195" s="2" t="s">
        <v>416</v>
      </c>
      <c r="V195" s="2" t="s">
        <v>83</v>
      </c>
      <c r="W195" s="2" t="s">
        <v>68</v>
      </c>
      <c r="X195" s="2" t="s">
        <v>69</v>
      </c>
      <c r="Y195" s="2" t="s">
        <v>53</v>
      </c>
      <c r="Z195" s="3">
        <v>8.0</v>
      </c>
      <c r="AA195" s="2" t="s">
        <v>141</v>
      </c>
      <c r="AB195" s="3">
        <v>38.0</v>
      </c>
      <c r="AC195" s="3">
        <v>38.0</v>
      </c>
      <c r="AD195" s="7">
        <v>0.7368</v>
      </c>
      <c r="AE195" s="3">
        <v>28.0</v>
      </c>
      <c r="AF195" s="3">
        <v>1.0</v>
      </c>
      <c r="AG195" s="3">
        <v>0.0</v>
      </c>
      <c r="AH195" s="3">
        <v>1.0</v>
      </c>
      <c r="AI195" s="3">
        <v>0.0</v>
      </c>
      <c r="AJ195" s="3">
        <v>0.0</v>
      </c>
      <c r="AK195" s="3">
        <v>1.0</v>
      </c>
    </row>
    <row r="196">
      <c r="A196" s="2" t="s">
        <v>37</v>
      </c>
      <c r="B196" s="3">
        <v>36982.0</v>
      </c>
      <c r="C196" s="4">
        <v>45662.0</v>
      </c>
      <c r="D196" s="3" t="s">
        <v>38</v>
      </c>
      <c r="E196" s="2" t="s">
        <v>72</v>
      </c>
      <c r="F196" s="3">
        <v>73200.0</v>
      </c>
      <c r="G196" s="2" t="s">
        <v>783</v>
      </c>
      <c r="H196" s="5">
        <v>45461.52625</v>
      </c>
      <c r="I196" s="2" t="s">
        <v>57</v>
      </c>
      <c r="J196" s="2" t="s">
        <v>398</v>
      </c>
      <c r="K196" s="2" t="s">
        <v>81</v>
      </c>
      <c r="L196" s="2" t="s">
        <v>44</v>
      </c>
      <c r="M196" s="2" t="s">
        <v>89</v>
      </c>
      <c r="N196" s="2" t="s">
        <v>298</v>
      </c>
      <c r="O196" s="2" t="s">
        <v>784</v>
      </c>
      <c r="P196" s="4">
        <v>46176.0</v>
      </c>
      <c r="Q196" s="4">
        <v>46176.0</v>
      </c>
      <c r="R196" s="3">
        <v>1766.0</v>
      </c>
      <c r="S196" s="2" t="s">
        <v>482</v>
      </c>
      <c r="T196" s="2" t="s">
        <v>81</v>
      </c>
      <c r="U196" s="2" t="s">
        <v>416</v>
      </c>
      <c r="V196" s="2" t="s">
        <v>83</v>
      </c>
      <c r="W196" s="2" t="s">
        <v>68</v>
      </c>
      <c r="X196" s="2" t="s">
        <v>69</v>
      </c>
      <c r="Y196" s="2" t="s">
        <v>53</v>
      </c>
      <c r="Z196" s="3">
        <v>6.0</v>
      </c>
      <c r="AA196" s="2" t="s">
        <v>180</v>
      </c>
      <c r="AB196" s="3">
        <v>23.0</v>
      </c>
      <c r="AC196" s="3">
        <v>23.0</v>
      </c>
      <c r="AD196" s="7">
        <v>0.6522</v>
      </c>
      <c r="AE196" s="3">
        <v>15.0</v>
      </c>
      <c r="AF196" s="3">
        <v>1.0</v>
      </c>
      <c r="AG196" s="3">
        <v>0.0</v>
      </c>
      <c r="AH196" s="3">
        <v>1.0</v>
      </c>
      <c r="AI196" s="3">
        <v>0.0</v>
      </c>
      <c r="AJ196" s="3">
        <v>0.0</v>
      </c>
      <c r="AK196" s="3">
        <v>1.0</v>
      </c>
    </row>
    <row r="197">
      <c r="A197" s="2" t="s">
        <v>37</v>
      </c>
      <c r="B197" s="3">
        <v>38977.0</v>
      </c>
      <c r="C197" s="4">
        <v>45661.0</v>
      </c>
      <c r="D197" s="5">
        <v>46112.99998842592</v>
      </c>
      <c r="E197" s="2" t="s">
        <v>39</v>
      </c>
      <c r="F197" s="3">
        <v>55195.0</v>
      </c>
      <c r="G197" s="2" t="s">
        <v>785</v>
      </c>
      <c r="H197" s="5">
        <v>44558.18025462963</v>
      </c>
      <c r="I197" s="2" t="s">
        <v>57</v>
      </c>
      <c r="J197" s="2" t="s">
        <v>204</v>
      </c>
      <c r="K197" s="2" t="s">
        <v>88</v>
      </c>
      <c r="L197" s="2" t="s">
        <v>44</v>
      </c>
      <c r="M197" s="2" t="s">
        <v>60</v>
      </c>
      <c r="N197" s="2" t="s">
        <v>61</v>
      </c>
      <c r="O197" s="2" t="s">
        <v>786</v>
      </c>
      <c r="P197" s="4">
        <v>46268.0</v>
      </c>
      <c r="Q197" s="3" t="s">
        <v>208</v>
      </c>
      <c r="R197" s="3">
        <v>2002.0</v>
      </c>
      <c r="S197" s="2" t="s">
        <v>216</v>
      </c>
      <c r="T197" s="2" t="s">
        <v>88</v>
      </c>
      <c r="U197" s="2" t="s">
        <v>149</v>
      </c>
      <c r="V197" s="2" t="s">
        <v>150</v>
      </c>
      <c r="W197" s="2" t="s">
        <v>51</v>
      </c>
      <c r="X197" s="2" t="s">
        <v>96</v>
      </c>
      <c r="Y197" s="2" t="s">
        <v>53</v>
      </c>
      <c r="Z197" s="3">
        <v>7.0</v>
      </c>
      <c r="AA197" s="2" t="s">
        <v>54</v>
      </c>
      <c r="AB197" s="3">
        <v>15.0</v>
      </c>
      <c r="AC197" s="3">
        <v>15.0</v>
      </c>
      <c r="AD197" s="7">
        <v>0.9</v>
      </c>
      <c r="AE197" s="3">
        <v>54.0</v>
      </c>
      <c r="AF197" s="3">
        <v>4.0</v>
      </c>
      <c r="AG197" s="3">
        <v>0.0</v>
      </c>
      <c r="AH197" s="3">
        <v>4.0</v>
      </c>
      <c r="AI197" s="3">
        <v>0.0</v>
      </c>
      <c r="AJ197" s="3">
        <v>0.0</v>
      </c>
      <c r="AK197" s="3">
        <v>4.0</v>
      </c>
    </row>
    <row r="198">
      <c r="A198" s="2" t="s">
        <v>37</v>
      </c>
      <c r="B198" s="3">
        <v>38971.0</v>
      </c>
      <c r="C198" s="3" t="s">
        <v>211</v>
      </c>
      <c r="D198" s="5">
        <v>46112.99998842592</v>
      </c>
      <c r="E198" s="2" t="s">
        <v>39</v>
      </c>
      <c r="F198" s="3">
        <v>55195.0</v>
      </c>
      <c r="G198" s="2" t="s">
        <v>785</v>
      </c>
      <c r="H198" s="5">
        <v>44558.18025462963</v>
      </c>
      <c r="I198" s="2" t="s">
        <v>57</v>
      </c>
      <c r="J198" s="2" t="s">
        <v>204</v>
      </c>
      <c r="K198" s="2" t="s">
        <v>88</v>
      </c>
      <c r="L198" s="2" t="s">
        <v>44</v>
      </c>
      <c r="M198" s="2" t="s">
        <v>60</v>
      </c>
      <c r="N198" s="2" t="s">
        <v>61</v>
      </c>
      <c r="O198" s="2" t="s">
        <v>786</v>
      </c>
      <c r="P198" s="4">
        <v>46268.0</v>
      </c>
      <c r="Q198" s="3" t="s">
        <v>208</v>
      </c>
      <c r="R198" s="3">
        <v>1996.0</v>
      </c>
      <c r="S198" s="2" t="s">
        <v>329</v>
      </c>
      <c r="T198" s="2" t="s">
        <v>88</v>
      </c>
      <c r="U198" s="2" t="s">
        <v>149</v>
      </c>
      <c r="V198" s="2" t="s">
        <v>150</v>
      </c>
      <c r="W198" s="2" t="s">
        <v>51</v>
      </c>
      <c r="X198" s="2" t="s">
        <v>96</v>
      </c>
      <c r="Y198" s="2" t="s">
        <v>53</v>
      </c>
      <c r="Z198" s="3">
        <v>7.0</v>
      </c>
      <c r="AA198" s="2" t="s">
        <v>54</v>
      </c>
      <c r="AB198" s="3">
        <v>32.0</v>
      </c>
      <c r="AC198" s="3">
        <v>32.0</v>
      </c>
      <c r="AD198" s="7">
        <v>0.9063</v>
      </c>
      <c r="AE198" s="3">
        <v>116.0</v>
      </c>
      <c r="AF198" s="3">
        <v>4.0</v>
      </c>
      <c r="AG198" s="3">
        <v>0.0</v>
      </c>
      <c r="AH198" s="3">
        <v>2.0</v>
      </c>
      <c r="AI198" s="3">
        <v>2.0</v>
      </c>
      <c r="AJ198" s="3">
        <v>0.0</v>
      </c>
      <c r="AK198" s="3">
        <v>4.0</v>
      </c>
    </row>
    <row r="199">
      <c r="A199" s="2" t="s">
        <v>37</v>
      </c>
      <c r="B199" s="3">
        <v>36852.0</v>
      </c>
      <c r="C199" s="3" t="s">
        <v>71</v>
      </c>
      <c r="D199" s="3" t="s">
        <v>38</v>
      </c>
      <c r="E199" s="2" t="s">
        <v>72</v>
      </c>
      <c r="F199" s="3">
        <v>73201.0</v>
      </c>
      <c r="G199" s="2" t="s">
        <v>787</v>
      </c>
      <c r="H199" s="5">
        <v>45461.5265162037</v>
      </c>
      <c r="I199" s="2" t="s">
        <v>296</v>
      </c>
      <c r="J199" s="2" t="s">
        <v>398</v>
      </c>
      <c r="K199" s="2" t="s">
        <v>81</v>
      </c>
      <c r="L199" s="2" t="s">
        <v>44</v>
      </c>
      <c r="M199" s="2" t="s">
        <v>77</v>
      </c>
      <c r="N199" s="2" t="s">
        <v>298</v>
      </c>
      <c r="O199" s="2" t="s">
        <v>788</v>
      </c>
      <c r="P199" s="4">
        <v>46206.0</v>
      </c>
      <c r="Q199" s="4">
        <v>46206.0</v>
      </c>
      <c r="R199" s="3">
        <v>1765.0</v>
      </c>
      <c r="S199" s="2" t="s">
        <v>415</v>
      </c>
      <c r="T199" s="2" t="s">
        <v>81</v>
      </c>
      <c r="U199" s="2" t="s">
        <v>416</v>
      </c>
      <c r="V199" s="2" t="s">
        <v>83</v>
      </c>
      <c r="W199" s="2" t="s">
        <v>68</v>
      </c>
      <c r="X199" s="2" t="s">
        <v>69</v>
      </c>
      <c r="Y199" s="2" t="s">
        <v>53</v>
      </c>
      <c r="Z199" s="3">
        <v>9.0</v>
      </c>
      <c r="AA199" s="2" t="s">
        <v>84</v>
      </c>
      <c r="AB199" s="3">
        <v>29.0</v>
      </c>
      <c r="AC199" s="3">
        <v>29.0</v>
      </c>
      <c r="AD199" s="7">
        <v>1.0</v>
      </c>
      <c r="AE199" s="3">
        <v>29.0</v>
      </c>
      <c r="AF199" s="3">
        <v>1.0</v>
      </c>
      <c r="AG199" s="3">
        <v>0.0</v>
      </c>
      <c r="AH199" s="3">
        <v>1.0</v>
      </c>
      <c r="AI199" s="3">
        <v>0.0</v>
      </c>
      <c r="AJ199" s="3">
        <v>0.0</v>
      </c>
      <c r="AK199" s="3">
        <v>1.0</v>
      </c>
    </row>
    <row r="200">
      <c r="A200" s="2" t="s">
        <v>37</v>
      </c>
      <c r="B200" s="3">
        <v>36872.0</v>
      </c>
      <c r="C200" s="3" t="s">
        <v>302</v>
      </c>
      <c r="D200" s="3" t="s">
        <v>38</v>
      </c>
      <c r="E200" s="2" t="s">
        <v>72</v>
      </c>
      <c r="F200" s="3">
        <v>73201.0</v>
      </c>
      <c r="G200" s="2" t="s">
        <v>787</v>
      </c>
      <c r="H200" s="5">
        <v>45461.5265162037</v>
      </c>
      <c r="I200" s="2" t="s">
        <v>296</v>
      </c>
      <c r="J200" s="2" t="s">
        <v>398</v>
      </c>
      <c r="K200" s="2" t="s">
        <v>81</v>
      </c>
      <c r="L200" s="2" t="s">
        <v>44</v>
      </c>
      <c r="M200" s="2" t="s">
        <v>77</v>
      </c>
      <c r="N200" s="2" t="s">
        <v>298</v>
      </c>
      <c r="O200" s="2" t="s">
        <v>788</v>
      </c>
      <c r="P200" s="4">
        <v>46176.0</v>
      </c>
      <c r="Q200" s="4">
        <v>46176.0</v>
      </c>
      <c r="R200" s="3">
        <v>1765.0</v>
      </c>
      <c r="S200" s="2" t="s">
        <v>415</v>
      </c>
      <c r="T200" s="2" t="s">
        <v>81</v>
      </c>
      <c r="U200" s="2" t="s">
        <v>416</v>
      </c>
      <c r="V200" s="2" t="s">
        <v>83</v>
      </c>
      <c r="W200" s="2" t="s">
        <v>68</v>
      </c>
      <c r="X200" s="2" t="s">
        <v>69</v>
      </c>
      <c r="Y200" s="2" t="s">
        <v>53</v>
      </c>
      <c r="Z200" s="3">
        <v>7.0</v>
      </c>
      <c r="AA200" s="2" t="s">
        <v>141</v>
      </c>
      <c r="AB200" s="3">
        <v>31.0</v>
      </c>
      <c r="AC200" s="3">
        <v>31.0</v>
      </c>
      <c r="AD200" s="7">
        <v>1.0</v>
      </c>
      <c r="AE200" s="3">
        <v>31.0</v>
      </c>
      <c r="AF200" s="3">
        <v>1.0</v>
      </c>
      <c r="AG200" s="3">
        <v>0.0</v>
      </c>
      <c r="AH200" s="3">
        <v>1.0</v>
      </c>
      <c r="AI200" s="3">
        <v>0.0</v>
      </c>
      <c r="AJ200" s="3">
        <v>0.0</v>
      </c>
      <c r="AK200" s="3">
        <v>1.0</v>
      </c>
    </row>
    <row r="201">
      <c r="A201" s="2" t="s">
        <v>37</v>
      </c>
      <c r="B201" s="3">
        <v>36873.0</v>
      </c>
      <c r="C201" s="3" t="s">
        <v>302</v>
      </c>
      <c r="D201" s="3" t="s">
        <v>38</v>
      </c>
      <c r="E201" s="2" t="s">
        <v>72</v>
      </c>
      <c r="F201" s="3">
        <v>73201.0</v>
      </c>
      <c r="G201" s="2" t="s">
        <v>787</v>
      </c>
      <c r="H201" s="5">
        <v>45461.5265162037</v>
      </c>
      <c r="I201" s="2" t="s">
        <v>296</v>
      </c>
      <c r="J201" s="2" t="s">
        <v>398</v>
      </c>
      <c r="K201" s="2" t="s">
        <v>81</v>
      </c>
      <c r="L201" s="2" t="s">
        <v>44</v>
      </c>
      <c r="M201" s="2" t="s">
        <v>77</v>
      </c>
      <c r="N201" s="2" t="s">
        <v>298</v>
      </c>
      <c r="O201" s="2" t="s">
        <v>788</v>
      </c>
      <c r="P201" s="4">
        <v>46206.0</v>
      </c>
      <c r="Q201" s="4">
        <v>46206.0</v>
      </c>
      <c r="R201" s="3">
        <v>1765.0</v>
      </c>
      <c r="S201" s="2" t="s">
        <v>415</v>
      </c>
      <c r="T201" s="2" t="s">
        <v>81</v>
      </c>
      <c r="U201" s="2" t="s">
        <v>416</v>
      </c>
      <c r="V201" s="2" t="s">
        <v>83</v>
      </c>
      <c r="W201" s="2" t="s">
        <v>68</v>
      </c>
      <c r="X201" s="2" t="s">
        <v>69</v>
      </c>
      <c r="Y201" s="2" t="s">
        <v>53</v>
      </c>
      <c r="Z201" s="3">
        <v>8.0</v>
      </c>
      <c r="AA201" s="2" t="s">
        <v>141</v>
      </c>
      <c r="AB201" s="3">
        <v>26.0</v>
      </c>
      <c r="AC201" s="3">
        <v>26.0</v>
      </c>
      <c r="AD201" s="7">
        <v>1.0</v>
      </c>
      <c r="AE201" s="3">
        <v>26.0</v>
      </c>
      <c r="AF201" s="3">
        <v>1.0</v>
      </c>
      <c r="AG201" s="3">
        <v>0.0</v>
      </c>
      <c r="AH201" s="3">
        <v>1.0</v>
      </c>
      <c r="AI201" s="3">
        <v>0.0</v>
      </c>
      <c r="AJ201" s="3">
        <v>0.0</v>
      </c>
      <c r="AK201" s="3">
        <v>1.0</v>
      </c>
    </row>
    <row r="202">
      <c r="A202" s="2" t="s">
        <v>37</v>
      </c>
      <c r="B202" s="3">
        <v>36980.0</v>
      </c>
      <c r="C202" s="4">
        <v>45662.0</v>
      </c>
      <c r="D202" s="3" t="s">
        <v>38</v>
      </c>
      <c r="E202" s="2" t="s">
        <v>72</v>
      </c>
      <c r="F202" s="3">
        <v>73201.0</v>
      </c>
      <c r="G202" s="2" t="s">
        <v>787</v>
      </c>
      <c r="H202" s="5">
        <v>45461.5265162037</v>
      </c>
      <c r="I202" s="2" t="s">
        <v>296</v>
      </c>
      <c r="J202" s="2" t="s">
        <v>398</v>
      </c>
      <c r="K202" s="2" t="s">
        <v>81</v>
      </c>
      <c r="L202" s="2" t="s">
        <v>44</v>
      </c>
      <c r="M202" s="2" t="s">
        <v>77</v>
      </c>
      <c r="N202" s="2" t="s">
        <v>298</v>
      </c>
      <c r="O202" s="2" t="s">
        <v>788</v>
      </c>
      <c r="P202" s="4">
        <v>46176.0</v>
      </c>
      <c r="Q202" s="4">
        <v>46176.0</v>
      </c>
      <c r="R202" s="3">
        <v>1765.0</v>
      </c>
      <c r="S202" s="2" t="s">
        <v>415</v>
      </c>
      <c r="T202" s="2" t="s">
        <v>81</v>
      </c>
      <c r="U202" s="2" t="s">
        <v>416</v>
      </c>
      <c r="V202" s="2" t="s">
        <v>83</v>
      </c>
      <c r="W202" s="2" t="s">
        <v>68</v>
      </c>
      <c r="X202" s="2" t="s">
        <v>69</v>
      </c>
      <c r="Y202" s="2" t="s">
        <v>53</v>
      </c>
      <c r="Z202" s="3">
        <v>6.0</v>
      </c>
      <c r="AA202" s="2" t="s">
        <v>180</v>
      </c>
      <c r="AB202" s="3">
        <v>31.0</v>
      </c>
      <c r="AC202" s="3">
        <v>31.0</v>
      </c>
      <c r="AD202" s="7">
        <v>1.0</v>
      </c>
      <c r="AE202" s="3">
        <v>31.0</v>
      </c>
      <c r="AF202" s="3">
        <v>1.0</v>
      </c>
      <c r="AG202" s="3">
        <v>0.0</v>
      </c>
      <c r="AH202" s="3">
        <v>1.0</v>
      </c>
      <c r="AI202" s="3">
        <v>0.0</v>
      </c>
      <c r="AJ202" s="3">
        <v>0.0</v>
      </c>
      <c r="AK202" s="3">
        <v>1.0</v>
      </c>
    </row>
    <row r="203">
      <c r="A203" s="2" t="s">
        <v>37</v>
      </c>
      <c r="B203" s="3">
        <v>39678.0</v>
      </c>
      <c r="C203" s="3" t="s">
        <v>520</v>
      </c>
      <c r="D203" s="3" t="s">
        <v>38</v>
      </c>
      <c r="E203" s="2" t="s">
        <v>39</v>
      </c>
      <c r="F203" s="3">
        <v>76847.0</v>
      </c>
      <c r="G203" s="2" t="s">
        <v>789</v>
      </c>
      <c r="H203" s="5">
        <v>45556.51006944444</v>
      </c>
      <c r="I203" s="2" t="s">
        <v>790</v>
      </c>
      <c r="J203" s="2" t="s">
        <v>42</v>
      </c>
      <c r="K203" s="2" t="s">
        <v>43</v>
      </c>
      <c r="L203" s="2" t="s">
        <v>44</v>
      </c>
      <c r="M203" s="2" t="s">
        <v>205</v>
      </c>
      <c r="N203" s="2" t="s">
        <v>791</v>
      </c>
      <c r="O203" s="2" t="s">
        <v>792</v>
      </c>
      <c r="P203" s="4">
        <v>46056.0</v>
      </c>
      <c r="Q203" s="3" t="s">
        <v>169</v>
      </c>
      <c r="R203" s="3">
        <v>2016.0</v>
      </c>
      <c r="S203" s="2" t="s">
        <v>793</v>
      </c>
      <c r="T203" s="2" t="s">
        <v>43</v>
      </c>
      <c r="U203" s="2" t="s">
        <v>794</v>
      </c>
      <c r="V203" s="2" t="s">
        <v>795</v>
      </c>
      <c r="W203" s="2" t="s">
        <v>51</v>
      </c>
      <c r="X203" s="2" t="s">
        <v>172</v>
      </c>
      <c r="Y203" s="2" t="s">
        <v>796</v>
      </c>
      <c r="Z203" s="3">
        <v>7.0</v>
      </c>
      <c r="AA203" s="2" t="s">
        <v>318</v>
      </c>
      <c r="AB203" s="3">
        <v>25.0</v>
      </c>
      <c r="AC203" s="3">
        <v>25.0</v>
      </c>
      <c r="AD203" s="7">
        <v>0.8344</v>
      </c>
      <c r="AE203" s="3">
        <v>126.0</v>
      </c>
      <c r="AF203" s="3">
        <v>6.0</v>
      </c>
      <c r="AG203" s="3">
        <v>0.0</v>
      </c>
      <c r="AH203" s="3">
        <v>3.0</v>
      </c>
      <c r="AI203" s="3">
        <v>3.0</v>
      </c>
      <c r="AJ203" s="3">
        <v>0.0</v>
      </c>
      <c r="AK203" s="3">
        <v>6.0</v>
      </c>
    </row>
    <row r="204">
      <c r="A204" s="2" t="s">
        <v>37</v>
      </c>
      <c r="B204" s="3">
        <v>40185.0</v>
      </c>
      <c r="C204" s="3" t="s">
        <v>55</v>
      </c>
      <c r="D204" s="3" t="s">
        <v>38</v>
      </c>
      <c r="E204" s="2" t="s">
        <v>39</v>
      </c>
      <c r="F204" s="3">
        <v>88681.0</v>
      </c>
      <c r="G204" s="2" t="s">
        <v>797</v>
      </c>
      <c r="H204" s="5">
        <v>46069.842673611114</v>
      </c>
      <c r="I204" s="2" t="s">
        <v>57</v>
      </c>
      <c r="J204" s="2" t="s">
        <v>798</v>
      </c>
      <c r="K204" s="2" t="s">
        <v>286</v>
      </c>
      <c r="L204" s="2" t="s">
        <v>44</v>
      </c>
      <c r="M204" s="2" t="s">
        <v>89</v>
      </c>
      <c r="N204" s="2" t="s">
        <v>799</v>
      </c>
      <c r="O204" s="2" t="s">
        <v>800</v>
      </c>
      <c r="P204" s="4">
        <v>46145.0</v>
      </c>
      <c r="Q204" s="3" t="s">
        <v>236</v>
      </c>
      <c r="R204" s="3">
        <v>1784.0</v>
      </c>
      <c r="S204" s="2" t="s">
        <v>103</v>
      </c>
      <c r="T204" s="2" t="s">
        <v>65</v>
      </c>
      <c r="U204" s="2" t="s">
        <v>104</v>
      </c>
      <c r="V204" s="2" t="s">
        <v>67</v>
      </c>
      <c r="W204" s="2" t="s">
        <v>68</v>
      </c>
      <c r="X204" s="2" t="s">
        <v>69</v>
      </c>
      <c r="Y204" s="2" t="s">
        <v>53</v>
      </c>
      <c r="Z204" s="3">
        <v>6.0</v>
      </c>
      <c r="AA204" s="2" t="s">
        <v>70</v>
      </c>
      <c r="AB204" s="3">
        <v>17.0</v>
      </c>
      <c r="AC204" s="3">
        <v>17.0</v>
      </c>
      <c r="AD204" s="7">
        <v>1.0</v>
      </c>
      <c r="AE204" s="3">
        <v>85.0</v>
      </c>
      <c r="AF204" s="3">
        <v>5.0</v>
      </c>
      <c r="AG204" s="3">
        <v>0.0</v>
      </c>
      <c r="AH204" s="3">
        <v>4.0</v>
      </c>
      <c r="AI204" s="3">
        <v>1.0</v>
      </c>
      <c r="AJ204" s="3">
        <v>0.0</v>
      </c>
      <c r="AK204" s="3">
        <v>5.0</v>
      </c>
    </row>
    <row r="205">
      <c r="A205" s="2" t="s">
        <v>37</v>
      </c>
      <c r="B205" s="3">
        <v>36973.0</v>
      </c>
      <c r="C205" s="4">
        <v>45662.0</v>
      </c>
      <c r="D205" s="3" t="s">
        <v>38</v>
      </c>
      <c r="E205" s="2" t="s">
        <v>72</v>
      </c>
      <c r="F205" s="3">
        <v>81603.0</v>
      </c>
      <c r="G205" s="2" t="s">
        <v>801</v>
      </c>
      <c r="H205" s="5">
        <v>45807.475810185184</v>
      </c>
      <c r="I205" s="2" t="s">
        <v>57</v>
      </c>
      <c r="J205" s="2" t="s">
        <v>802</v>
      </c>
      <c r="K205" s="2" t="s">
        <v>226</v>
      </c>
      <c r="L205" s="2" t="s">
        <v>44</v>
      </c>
      <c r="M205" s="2" t="s">
        <v>77</v>
      </c>
      <c r="N205" s="2" t="s">
        <v>61</v>
      </c>
      <c r="O205" s="2" t="s">
        <v>803</v>
      </c>
      <c r="P205" s="4">
        <v>46056.0</v>
      </c>
      <c r="Q205" s="4">
        <v>46056.0</v>
      </c>
      <c r="R205" s="3">
        <v>1761.0</v>
      </c>
      <c r="S205" s="2" t="s">
        <v>80</v>
      </c>
      <c r="T205" s="2" t="s">
        <v>81</v>
      </c>
      <c r="U205" s="2" t="s">
        <v>82</v>
      </c>
      <c r="V205" s="2" t="s">
        <v>83</v>
      </c>
      <c r="W205" s="2" t="s">
        <v>68</v>
      </c>
      <c r="X205" s="2" t="s">
        <v>69</v>
      </c>
      <c r="Y205" s="2" t="s">
        <v>53</v>
      </c>
      <c r="Z205" s="3">
        <v>6.0</v>
      </c>
      <c r="AA205" s="2" t="s">
        <v>180</v>
      </c>
      <c r="AB205" s="3">
        <v>26.0</v>
      </c>
      <c r="AC205" s="3">
        <v>26.0</v>
      </c>
      <c r="AD205" s="7">
        <v>0.9231</v>
      </c>
      <c r="AE205" s="3">
        <v>24.0</v>
      </c>
      <c r="AF205" s="3">
        <v>1.0</v>
      </c>
      <c r="AG205" s="3">
        <v>0.0</v>
      </c>
      <c r="AH205" s="3">
        <v>1.0</v>
      </c>
      <c r="AI205" s="3">
        <v>0.0</v>
      </c>
      <c r="AJ205" s="3">
        <v>0.0</v>
      </c>
      <c r="AK205" s="3">
        <v>1.0</v>
      </c>
    </row>
    <row r="206">
      <c r="A206" s="2" t="s">
        <v>37</v>
      </c>
      <c r="B206" s="3">
        <v>36843.0</v>
      </c>
      <c r="C206" s="3" t="s">
        <v>71</v>
      </c>
      <c r="D206" s="3" t="s">
        <v>38</v>
      </c>
      <c r="E206" s="2" t="s">
        <v>72</v>
      </c>
      <c r="F206" s="3">
        <v>79449.0</v>
      </c>
      <c r="G206" s="2" t="s">
        <v>804</v>
      </c>
      <c r="H206" s="5">
        <v>45663.574791666666</v>
      </c>
      <c r="I206" s="2" t="s">
        <v>805</v>
      </c>
      <c r="J206" s="2" t="s">
        <v>798</v>
      </c>
      <c r="K206" s="2" t="s">
        <v>286</v>
      </c>
      <c r="L206" s="2" t="s">
        <v>44</v>
      </c>
      <c r="M206" s="2" t="s">
        <v>205</v>
      </c>
      <c r="N206" s="2" t="s">
        <v>356</v>
      </c>
      <c r="O206" s="2" t="s">
        <v>806</v>
      </c>
      <c r="P206" s="4">
        <v>46084.0</v>
      </c>
      <c r="Q206" s="4">
        <v>46145.0</v>
      </c>
      <c r="R206" s="3">
        <v>1765.0</v>
      </c>
      <c r="S206" s="2" t="s">
        <v>415</v>
      </c>
      <c r="T206" s="2" t="s">
        <v>81</v>
      </c>
      <c r="U206" s="2" t="s">
        <v>416</v>
      </c>
      <c r="V206" s="2" t="s">
        <v>83</v>
      </c>
      <c r="W206" s="2" t="s">
        <v>68</v>
      </c>
      <c r="X206" s="2" t="s">
        <v>69</v>
      </c>
      <c r="Y206" s="2" t="s">
        <v>53</v>
      </c>
      <c r="Z206" s="3">
        <v>9.0</v>
      </c>
      <c r="AA206" s="2" t="s">
        <v>84</v>
      </c>
      <c r="AB206" s="3">
        <v>29.0</v>
      </c>
      <c r="AC206" s="3">
        <v>29.0</v>
      </c>
      <c r="AD206" s="7">
        <v>1.0</v>
      </c>
      <c r="AE206" s="3">
        <v>58.0</v>
      </c>
      <c r="AF206" s="3">
        <v>2.0</v>
      </c>
      <c r="AG206" s="3">
        <v>0.0</v>
      </c>
      <c r="AH206" s="3">
        <v>0.0</v>
      </c>
      <c r="AI206" s="3">
        <v>2.0</v>
      </c>
      <c r="AJ206" s="3">
        <v>0.0</v>
      </c>
      <c r="AK206" s="3">
        <v>2.0</v>
      </c>
    </row>
    <row r="207">
      <c r="A207" s="2" t="s">
        <v>37</v>
      </c>
      <c r="B207" s="3">
        <v>37064.0</v>
      </c>
      <c r="C207" s="3" t="s">
        <v>807</v>
      </c>
      <c r="D207" s="3" t="s">
        <v>38</v>
      </c>
      <c r="E207" s="2" t="s">
        <v>39</v>
      </c>
      <c r="F207" s="3">
        <v>78918.0</v>
      </c>
      <c r="G207" s="2" t="s">
        <v>808</v>
      </c>
      <c r="H207" s="5">
        <v>45632.716782407406</v>
      </c>
      <c r="I207" s="2" t="s">
        <v>805</v>
      </c>
      <c r="J207" s="2" t="s">
        <v>42</v>
      </c>
      <c r="K207" s="2" t="s">
        <v>43</v>
      </c>
      <c r="L207" s="2" t="s">
        <v>44</v>
      </c>
      <c r="M207" s="2" t="s">
        <v>205</v>
      </c>
      <c r="N207" s="2" t="s">
        <v>809</v>
      </c>
      <c r="O207" s="2" t="s">
        <v>810</v>
      </c>
      <c r="P207" s="4">
        <v>46056.0</v>
      </c>
      <c r="Q207" s="4">
        <v>46329.0</v>
      </c>
      <c r="R207" s="3">
        <v>1698.0</v>
      </c>
      <c r="S207" s="2" t="s">
        <v>336</v>
      </c>
      <c r="T207" s="2" t="s">
        <v>48</v>
      </c>
      <c r="U207" s="2" t="s">
        <v>49</v>
      </c>
      <c r="V207" s="2" t="s">
        <v>50</v>
      </c>
      <c r="W207" s="2" t="s">
        <v>51</v>
      </c>
      <c r="X207" s="2" t="s">
        <v>52</v>
      </c>
      <c r="Y207" s="2" t="s">
        <v>53</v>
      </c>
      <c r="Z207" s="3">
        <v>6.0</v>
      </c>
      <c r="AA207" s="2" t="s">
        <v>54</v>
      </c>
      <c r="AB207" s="3">
        <v>23.0</v>
      </c>
      <c r="AC207" s="3">
        <v>23.0</v>
      </c>
      <c r="AD207" s="7">
        <v>0.7609</v>
      </c>
      <c r="AE207" s="3">
        <v>70.0</v>
      </c>
      <c r="AF207" s="3">
        <v>4.0</v>
      </c>
      <c r="AG207" s="3">
        <v>0.0</v>
      </c>
      <c r="AH207" s="3">
        <v>4.0</v>
      </c>
      <c r="AI207" s="3">
        <v>0.0</v>
      </c>
      <c r="AJ207" s="3">
        <v>0.0</v>
      </c>
      <c r="AK207" s="3">
        <v>4.0</v>
      </c>
    </row>
    <row r="208">
      <c r="A208" s="2" t="s">
        <v>37</v>
      </c>
      <c r="B208" s="3">
        <v>37067.0</v>
      </c>
      <c r="C208" s="3" t="s">
        <v>807</v>
      </c>
      <c r="D208" s="3" t="s">
        <v>38</v>
      </c>
      <c r="E208" s="2" t="s">
        <v>39</v>
      </c>
      <c r="F208" s="3">
        <v>78918.0</v>
      </c>
      <c r="G208" s="2" t="s">
        <v>808</v>
      </c>
      <c r="H208" s="5">
        <v>45632.716782407406</v>
      </c>
      <c r="I208" s="2" t="s">
        <v>805</v>
      </c>
      <c r="J208" s="2" t="s">
        <v>42</v>
      </c>
      <c r="K208" s="2" t="s">
        <v>43</v>
      </c>
      <c r="L208" s="2" t="s">
        <v>44</v>
      </c>
      <c r="M208" s="2" t="s">
        <v>205</v>
      </c>
      <c r="N208" s="2" t="s">
        <v>809</v>
      </c>
      <c r="O208" s="2" t="s">
        <v>810</v>
      </c>
      <c r="P208" s="4">
        <v>46145.0</v>
      </c>
      <c r="Q208" s="3" t="s">
        <v>194</v>
      </c>
      <c r="R208" s="3">
        <v>1698.0</v>
      </c>
      <c r="S208" s="2" t="s">
        <v>336</v>
      </c>
      <c r="T208" s="2" t="s">
        <v>48</v>
      </c>
      <c r="U208" s="2" t="s">
        <v>49</v>
      </c>
      <c r="V208" s="2" t="s">
        <v>50</v>
      </c>
      <c r="W208" s="2" t="s">
        <v>51</v>
      </c>
      <c r="X208" s="2" t="s">
        <v>52</v>
      </c>
      <c r="Y208" s="2" t="s">
        <v>53</v>
      </c>
      <c r="Z208" s="3">
        <v>7.0</v>
      </c>
      <c r="AA208" s="2" t="s">
        <v>164</v>
      </c>
      <c r="AB208" s="3">
        <v>14.0</v>
      </c>
      <c r="AC208" s="3">
        <v>14.0</v>
      </c>
      <c r="AD208" s="7">
        <v>0.8036</v>
      </c>
      <c r="AE208" s="3">
        <v>45.0</v>
      </c>
      <c r="AF208" s="3">
        <v>4.0</v>
      </c>
      <c r="AG208" s="3">
        <v>0.0</v>
      </c>
      <c r="AH208" s="3">
        <v>4.0</v>
      </c>
      <c r="AI208" s="3">
        <v>0.0</v>
      </c>
      <c r="AJ208" s="3">
        <v>0.0</v>
      </c>
      <c r="AK208" s="3">
        <v>4.0</v>
      </c>
    </row>
    <row r="209">
      <c r="A209" s="2" t="s">
        <v>37</v>
      </c>
      <c r="B209" s="3">
        <v>36990.0</v>
      </c>
      <c r="C209" s="4">
        <v>45661.0</v>
      </c>
      <c r="D209" s="3" t="s">
        <v>38</v>
      </c>
      <c r="E209" s="2" t="s">
        <v>72</v>
      </c>
      <c r="F209" s="3">
        <v>72221.0</v>
      </c>
      <c r="G209" s="2" t="s">
        <v>811</v>
      </c>
      <c r="H209" s="5">
        <v>45400.495300925926</v>
      </c>
      <c r="I209" s="2" t="s">
        <v>57</v>
      </c>
      <c r="J209" s="2" t="s">
        <v>812</v>
      </c>
      <c r="K209" s="2" t="s">
        <v>81</v>
      </c>
      <c r="L209" s="2" t="s">
        <v>44</v>
      </c>
      <c r="M209" s="2" t="s">
        <v>89</v>
      </c>
      <c r="N209" s="2" t="s">
        <v>813</v>
      </c>
      <c r="O209" s="2" t="s">
        <v>814</v>
      </c>
      <c r="P209" s="4">
        <v>46056.0</v>
      </c>
      <c r="Q209" s="4">
        <v>46056.0</v>
      </c>
      <c r="R209" s="3">
        <v>1830.0</v>
      </c>
      <c r="S209" s="2" t="s">
        <v>572</v>
      </c>
      <c r="T209" s="2" t="s">
        <v>81</v>
      </c>
      <c r="U209" s="2" t="s">
        <v>573</v>
      </c>
      <c r="V209" s="2" t="s">
        <v>83</v>
      </c>
      <c r="W209" s="2" t="s">
        <v>68</v>
      </c>
      <c r="X209" s="2" t="s">
        <v>69</v>
      </c>
      <c r="Y209" s="2" t="s">
        <v>53</v>
      </c>
      <c r="Z209" s="3">
        <v>6.0</v>
      </c>
      <c r="AA209" s="2" t="s">
        <v>180</v>
      </c>
      <c r="AB209" s="3">
        <v>27.0</v>
      </c>
      <c r="AC209" s="3">
        <v>27.0</v>
      </c>
      <c r="AD209" s="7">
        <v>0.8519</v>
      </c>
      <c r="AE209" s="3">
        <v>23.0</v>
      </c>
      <c r="AF209" s="3">
        <v>1.0</v>
      </c>
      <c r="AG209" s="3">
        <v>0.0</v>
      </c>
      <c r="AH209" s="3">
        <v>1.0</v>
      </c>
      <c r="AI209" s="3">
        <v>0.0</v>
      </c>
      <c r="AJ209" s="3">
        <v>0.0</v>
      </c>
      <c r="AK209" s="3">
        <v>1.0</v>
      </c>
    </row>
    <row r="210">
      <c r="A210" s="2" t="s">
        <v>37</v>
      </c>
      <c r="B210" s="3">
        <v>39170.0</v>
      </c>
      <c r="C210" s="4">
        <v>45697.0</v>
      </c>
      <c r="D210" s="3" t="s">
        <v>38</v>
      </c>
      <c r="E210" s="2" t="s">
        <v>72</v>
      </c>
      <c r="F210" s="3">
        <v>75680.0</v>
      </c>
      <c r="G210" s="2" t="s">
        <v>815</v>
      </c>
      <c r="H210" s="5">
        <v>45516.72384259259</v>
      </c>
      <c r="I210" s="2" t="s">
        <v>57</v>
      </c>
      <c r="J210" s="2" t="s">
        <v>42</v>
      </c>
      <c r="K210" s="2" t="s">
        <v>43</v>
      </c>
      <c r="L210" s="2" t="s">
        <v>44</v>
      </c>
      <c r="M210" s="2" t="s">
        <v>89</v>
      </c>
      <c r="N210" s="2" t="s">
        <v>816</v>
      </c>
      <c r="O210" s="2" t="s">
        <v>817</v>
      </c>
      <c r="P210" s="4">
        <v>46084.0</v>
      </c>
      <c r="Q210" s="4">
        <v>46145.0</v>
      </c>
      <c r="R210" s="3">
        <v>2015.0</v>
      </c>
      <c r="S210" s="2" t="s">
        <v>249</v>
      </c>
      <c r="T210" s="2" t="s">
        <v>43</v>
      </c>
      <c r="U210" s="2" t="s">
        <v>250</v>
      </c>
      <c r="V210" s="2" t="s">
        <v>251</v>
      </c>
      <c r="W210" s="2" t="s">
        <v>51</v>
      </c>
      <c r="X210" s="2" t="s">
        <v>172</v>
      </c>
      <c r="Y210" s="2" t="s">
        <v>53</v>
      </c>
      <c r="Z210" s="3">
        <v>6.0</v>
      </c>
      <c r="AA210" s="2" t="s">
        <v>180</v>
      </c>
      <c r="AB210" s="3">
        <v>12.0</v>
      </c>
      <c r="AC210" s="3">
        <v>12.0</v>
      </c>
      <c r="AD210" s="7">
        <v>1.0</v>
      </c>
      <c r="AE210" s="3">
        <v>24.0</v>
      </c>
      <c r="AF210" s="3">
        <v>2.0</v>
      </c>
      <c r="AG210" s="3">
        <v>0.0</v>
      </c>
      <c r="AH210" s="3">
        <v>2.0</v>
      </c>
      <c r="AI210" s="3">
        <v>0.0</v>
      </c>
      <c r="AJ210" s="3">
        <v>0.0</v>
      </c>
      <c r="AK210" s="3">
        <v>2.0</v>
      </c>
    </row>
    <row r="211">
      <c r="A211" s="2" t="s">
        <v>37</v>
      </c>
      <c r="B211" s="3">
        <v>39763.0</v>
      </c>
      <c r="C211" s="4">
        <v>45668.0</v>
      </c>
      <c r="D211" s="3" t="s">
        <v>38</v>
      </c>
      <c r="E211" s="2" t="s">
        <v>39</v>
      </c>
      <c r="F211" s="3">
        <v>59903.0</v>
      </c>
      <c r="G211" s="2" t="s">
        <v>818</v>
      </c>
      <c r="H211" s="5">
        <v>44811.35487268519</v>
      </c>
      <c r="I211" s="2" t="s">
        <v>819</v>
      </c>
      <c r="J211" s="2" t="s">
        <v>156</v>
      </c>
      <c r="K211" s="2" t="s">
        <v>59</v>
      </c>
      <c r="L211" s="2" t="s">
        <v>44</v>
      </c>
      <c r="M211" s="6"/>
      <c r="N211" s="6"/>
      <c r="O211" s="2" t="s">
        <v>820</v>
      </c>
      <c r="P211" s="4">
        <v>46056.0</v>
      </c>
      <c r="Q211" s="3" t="s">
        <v>38</v>
      </c>
      <c r="R211" s="3">
        <v>1324.0</v>
      </c>
      <c r="S211" s="2" t="s">
        <v>392</v>
      </c>
      <c r="T211" s="2" t="s">
        <v>59</v>
      </c>
      <c r="V211" s="6"/>
      <c r="W211" s="2" t="s">
        <v>51</v>
      </c>
      <c r="X211" s="2" t="s">
        <v>162</v>
      </c>
      <c r="Y211" s="2" t="s">
        <v>163</v>
      </c>
      <c r="Z211" s="3">
        <v>5.0</v>
      </c>
      <c r="AA211" s="2" t="s">
        <v>164</v>
      </c>
      <c r="AB211" s="3">
        <v>31.0</v>
      </c>
      <c r="AC211" s="3">
        <v>24.0</v>
      </c>
      <c r="AD211" s="7">
        <v>0.197</v>
      </c>
      <c r="AE211" s="3">
        <v>52.0</v>
      </c>
      <c r="AF211" s="3">
        <v>14.0</v>
      </c>
      <c r="AG211" s="3">
        <v>0.0</v>
      </c>
      <c r="AH211" s="3">
        <v>11.0</v>
      </c>
      <c r="AI211" s="3">
        <v>0.0</v>
      </c>
      <c r="AJ211" s="3">
        <v>3.0</v>
      </c>
      <c r="AK211" s="3">
        <v>11.0</v>
      </c>
    </row>
    <row r="212">
      <c r="A212" s="2" t="s">
        <v>37</v>
      </c>
      <c r="B212" s="3">
        <v>39764.0</v>
      </c>
      <c r="C212" s="4">
        <v>45668.0</v>
      </c>
      <c r="D212" s="3" t="s">
        <v>38</v>
      </c>
      <c r="E212" s="2" t="s">
        <v>39</v>
      </c>
      <c r="F212" s="3">
        <v>59903.0</v>
      </c>
      <c r="G212" s="2" t="s">
        <v>818</v>
      </c>
      <c r="H212" s="5">
        <v>44811.35487268519</v>
      </c>
      <c r="I212" s="2" t="s">
        <v>819</v>
      </c>
      <c r="J212" s="2" t="s">
        <v>156</v>
      </c>
      <c r="K212" s="2" t="s">
        <v>59</v>
      </c>
      <c r="L212" s="2" t="s">
        <v>44</v>
      </c>
      <c r="M212" s="6"/>
      <c r="N212" s="6"/>
      <c r="O212" s="2" t="s">
        <v>820</v>
      </c>
      <c r="P212" s="4">
        <v>46115.0</v>
      </c>
      <c r="Q212" s="3" t="s">
        <v>236</v>
      </c>
      <c r="R212" s="3">
        <v>1324.0</v>
      </c>
      <c r="S212" s="2" t="s">
        <v>392</v>
      </c>
      <c r="T212" s="2" t="s">
        <v>59</v>
      </c>
      <c r="V212" s="6"/>
      <c r="W212" s="2" t="s">
        <v>51</v>
      </c>
      <c r="X212" s="2" t="s">
        <v>162</v>
      </c>
      <c r="Y212" s="2" t="s">
        <v>163</v>
      </c>
      <c r="Z212" s="3">
        <v>6.0</v>
      </c>
      <c r="AA212" s="2" t="s">
        <v>318</v>
      </c>
      <c r="AB212" s="3">
        <v>4.0</v>
      </c>
      <c r="AC212" s="3">
        <v>4.0</v>
      </c>
      <c r="AD212" s="7">
        <v>0.25</v>
      </c>
      <c r="AE212" s="3">
        <v>6.0</v>
      </c>
      <c r="AF212" s="3">
        <v>8.0</v>
      </c>
      <c r="AG212" s="3">
        <v>0.0</v>
      </c>
      <c r="AH212" s="3">
        <v>6.0</v>
      </c>
      <c r="AI212" s="3">
        <v>0.0</v>
      </c>
      <c r="AJ212" s="3">
        <v>2.0</v>
      </c>
      <c r="AK212" s="3">
        <v>6.0</v>
      </c>
    </row>
    <row r="213">
      <c r="A213" s="2" t="s">
        <v>37</v>
      </c>
      <c r="B213" s="3">
        <v>39765.0</v>
      </c>
      <c r="C213" s="4">
        <v>45668.0</v>
      </c>
      <c r="D213" s="3" t="s">
        <v>38</v>
      </c>
      <c r="E213" s="2" t="s">
        <v>39</v>
      </c>
      <c r="F213" s="3">
        <v>59903.0</v>
      </c>
      <c r="G213" s="2" t="s">
        <v>818</v>
      </c>
      <c r="H213" s="5">
        <v>44811.35487268519</v>
      </c>
      <c r="I213" s="2" t="s">
        <v>819</v>
      </c>
      <c r="J213" s="2" t="s">
        <v>156</v>
      </c>
      <c r="K213" s="2" t="s">
        <v>59</v>
      </c>
      <c r="L213" s="2" t="s">
        <v>44</v>
      </c>
      <c r="M213" s="6"/>
      <c r="N213" s="6"/>
      <c r="O213" s="2" t="s">
        <v>820</v>
      </c>
      <c r="P213" s="4">
        <v>46056.0</v>
      </c>
      <c r="Q213" s="3" t="s">
        <v>38</v>
      </c>
      <c r="R213" s="3">
        <v>1324.0</v>
      </c>
      <c r="S213" s="2" t="s">
        <v>392</v>
      </c>
      <c r="T213" s="2" t="s">
        <v>59</v>
      </c>
      <c r="V213" s="6"/>
      <c r="W213" s="2" t="s">
        <v>51</v>
      </c>
      <c r="X213" s="2" t="s">
        <v>162</v>
      </c>
      <c r="Y213" s="2" t="s">
        <v>163</v>
      </c>
      <c r="Z213" s="3">
        <v>6.0</v>
      </c>
      <c r="AA213" s="2" t="s">
        <v>164</v>
      </c>
      <c r="AB213" s="3">
        <v>4.0</v>
      </c>
      <c r="AC213" s="3">
        <v>4.0</v>
      </c>
      <c r="AD213" s="7">
        <v>0.25</v>
      </c>
      <c r="AE213" s="3">
        <v>8.0</v>
      </c>
      <c r="AF213" s="3">
        <v>10.0</v>
      </c>
      <c r="AG213" s="3">
        <v>0.0</v>
      </c>
      <c r="AH213" s="3">
        <v>8.0</v>
      </c>
      <c r="AI213" s="3">
        <v>0.0</v>
      </c>
      <c r="AJ213" s="3">
        <v>2.0</v>
      </c>
      <c r="AK213" s="3">
        <v>8.0</v>
      </c>
    </row>
    <row r="214">
      <c r="A214" s="2" t="s">
        <v>37</v>
      </c>
      <c r="B214" s="3">
        <v>39766.0</v>
      </c>
      <c r="C214" s="4">
        <v>45668.0</v>
      </c>
      <c r="D214" s="3" t="s">
        <v>38</v>
      </c>
      <c r="E214" s="2" t="s">
        <v>39</v>
      </c>
      <c r="F214" s="3">
        <v>59903.0</v>
      </c>
      <c r="G214" s="2" t="s">
        <v>818</v>
      </c>
      <c r="H214" s="5">
        <v>44811.35487268519</v>
      </c>
      <c r="I214" s="2" t="s">
        <v>819</v>
      </c>
      <c r="J214" s="2" t="s">
        <v>156</v>
      </c>
      <c r="K214" s="2" t="s">
        <v>59</v>
      </c>
      <c r="L214" s="2" t="s">
        <v>44</v>
      </c>
      <c r="M214" s="6"/>
      <c r="N214" s="6"/>
      <c r="O214" s="2" t="s">
        <v>820</v>
      </c>
      <c r="P214" s="4">
        <v>46056.0</v>
      </c>
      <c r="Q214" s="3" t="s">
        <v>38</v>
      </c>
      <c r="R214" s="3">
        <v>1324.0</v>
      </c>
      <c r="S214" s="2" t="s">
        <v>392</v>
      </c>
      <c r="T214" s="2" t="s">
        <v>59</v>
      </c>
      <c r="V214" s="6"/>
      <c r="W214" s="2" t="s">
        <v>51</v>
      </c>
      <c r="X214" s="2" t="s">
        <v>162</v>
      </c>
      <c r="Y214" s="2" t="s">
        <v>53</v>
      </c>
      <c r="Z214" s="3">
        <v>8.0</v>
      </c>
      <c r="AA214" s="2" t="s">
        <v>54</v>
      </c>
      <c r="AB214" s="3">
        <v>11.0</v>
      </c>
      <c r="AC214" s="3">
        <v>11.0</v>
      </c>
      <c r="AD214" s="7">
        <v>0.4886</v>
      </c>
      <c r="AE214" s="3">
        <v>43.0</v>
      </c>
      <c r="AF214" s="3">
        <v>10.0</v>
      </c>
      <c r="AG214" s="3">
        <v>0.0</v>
      </c>
      <c r="AH214" s="3">
        <v>8.0</v>
      </c>
      <c r="AI214" s="3">
        <v>0.0</v>
      </c>
      <c r="AJ214" s="3">
        <v>2.0</v>
      </c>
      <c r="AK214" s="3">
        <v>8.0</v>
      </c>
    </row>
    <row r="215">
      <c r="A215" s="2" t="s">
        <v>37</v>
      </c>
      <c r="B215" s="3">
        <v>39767.0</v>
      </c>
      <c r="C215" s="4">
        <v>45668.0</v>
      </c>
      <c r="D215" s="3" t="s">
        <v>38</v>
      </c>
      <c r="E215" s="2" t="s">
        <v>39</v>
      </c>
      <c r="F215" s="3">
        <v>59903.0</v>
      </c>
      <c r="G215" s="2" t="s">
        <v>818</v>
      </c>
      <c r="H215" s="5">
        <v>44811.35487268519</v>
      </c>
      <c r="I215" s="2" t="s">
        <v>819</v>
      </c>
      <c r="J215" s="2" t="s">
        <v>156</v>
      </c>
      <c r="K215" s="2" t="s">
        <v>59</v>
      </c>
      <c r="L215" s="2" t="s">
        <v>44</v>
      </c>
      <c r="M215" s="6"/>
      <c r="N215" s="6"/>
      <c r="O215" s="2" t="s">
        <v>820</v>
      </c>
      <c r="P215" s="4">
        <v>46115.0</v>
      </c>
      <c r="Q215" s="3" t="s">
        <v>236</v>
      </c>
      <c r="R215" s="3">
        <v>1324.0</v>
      </c>
      <c r="S215" s="2" t="s">
        <v>392</v>
      </c>
      <c r="T215" s="2" t="s">
        <v>59</v>
      </c>
      <c r="V215" s="6"/>
      <c r="W215" s="2" t="s">
        <v>51</v>
      </c>
      <c r="X215" s="2" t="s">
        <v>162</v>
      </c>
      <c r="Y215" s="2" t="s">
        <v>163</v>
      </c>
      <c r="Z215" s="3">
        <v>8.0</v>
      </c>
      <c r="AA215" s="2" t="s">
        <v>164</v>
      </c>
      <c r="AB215" s="3">
        <v>11.0</v>
      </c>
      <c r="AC215" s="3">
        <v>11.0</v>
      </c>
      <c r="AD215" s="7">
        <v>0.4394</v>
      </c>
      <c r="AE215" s="3">
        <v>29.0</v>
      </c>
      <c r="AF215" s="3">
        <v>8.0</v>
      </c>
      <c r="AG215" s="3">
        <v>0.0</v>
      </c>
      <c r="AH215" s="3">
        <v>6.0</v>
      </c>
      <c r="AI215" s="3">
        <v>0.0</v>
      </c>
      <c r="AJ215" s="3">
        <v>2.0</v>
      </c>
      <c r="AK215" s="3">
        <v>6.0</v>
      </c>
    </row>
    <row r="216">
      <c r="A216" s="2" t="s">
        <v>37</v>
      </c>
      <c r="B216" s="3">
        <v>39768.0</v>
      </c>
      <c r="C216" s="4">
        <v>45668.0</v>
      </c>
      <c r="D216" s="3" t="s">
        <v>38</v>
      </c>
      <c r="E216" s="2" t="s">
        <v>39</v>
      </c>
      <c r="F216" s="3">
        <v>59903.0</v>
      </c>
      <c r="G216" s="2" t="s">
        <v>818</v>
      </c>
      <c r="H216" s="5">
        <v>44811.35487268519</v>
      </c>
      <c r="I216" s="2" t="s">
        <v>819</v>
      </c>
      <c r="J216" s="2" t="s">
        <v>156</v>
      </c>
      <c r="K216" s="2" t="s">
        <v>59</v>
      </c>
      <c r="L216" s="2" t="s">
        <v>44</v>
      </c>
      <c r="M216" s="6"/>
      <c r="N216" s="6"/>
      <c r="O216" s="2" t="s">
        <v>820</v>
      </c>
      <c r="P216" s="4">
        <v>46176.0</v>
      </c>
      <c r="Q216" s="3" t="s">
        <v>63</v>
      </c>
      <c r="R216" s="3">
        <v>1324.0</v>
      </c>
      <c r="S216" s="2" t="s">
        <v>392</v>
      </c>
      <c r="T216" s="2" t="s">
        <v>59</v>
      </c>
      <c r="V216" s="6"/>
      <c r="W216" s="2" t="s">
        <v>51</v>
      </c>
      <c r="X216" s="2" t="s">
        <v>162</v>
      </c>
      <c r="Y216" s="2" t="s">
        <v>163</v>
      </c>
      <c r="Z216" s="3">
        <v>8.0</v>
      </c>
      <c r="AA216" s="2" t="s">
        <v>318</v>
      </c>
      <c r="AB216" s="3">
        <v>11.0</v>
      </c>
      <c r="AC216" s="3">
        <v>11.0</v>
      </c>
      <c r="AD216" s="7">
        <v>0.5065</v>
      </c>
      <c r="AE216" s="3">
        <v>39.0</v>
      </c>
      <c r="AF216" s="3">
        <v>8.0</v>
      </c>
      <c r="AG216" s="3">
        <v>0.0</v>
      </c>
      <c r="AH216" s="3">
        <v>7.0</v>
      </c>
      <c r="AI216" s="3">
        <v>0.0</v>
      </c>
      <c r="AJ216" s="3">
        <v>1.0</v>
      </c>
      <c r="AK216" s="3">
        <v>7.0</v>
      </c>
    </row>
    <row r="217">
      <c r="A217" s="2" t="s">
        <v>37</v>
      </c>
      <c r="B217" s="3">
        <v>39812.0</v>
      </c>
      <c r="C217" s="3" t="s">
        <v>821</v>
      </c>
      <c r="D217" s="3" t="s">
        <v>38</v>
      </c>
      <c r="E217" s="2" t="s">
        <v>39</v>
      </c>
      <c r="F217" s="3">
        <v>59903.0</v>
      </c>
      <c r="G217" s="2" t="s">
        <v>818</v>
      </c>
      <c r="H217" s="5">
        <v>44811.35487268519</v>
      </c>
      <c r="I217" s="2" t="s">
        <v>819</v>
      </c>
      <c r="J217" s="2" t="s">
        <v>156</v>
      </c>
      <c r="K217" s="2" t="s">
        <v>59</v>
      </c>
      <c r="L217" s="2" t="s">
        <v>44</v>
      </c>
      <c r="M217" s="6"/>
      <c r="N217" s="6"/>
      <c r="O217" s="2" t="s">
        <v>820</v>
      </c>
      <c r="P217" s="4">
        <v>46056.0</v>
      </c>
      <c r="Q217" s="3" t="s">
        <v>102</v>
      </c>
      <c r="R217" s="3">
        <v>1324.0</v>
      </c>
      <c r="S217" s="2" t="s">
        <v>392</v>
      </c>
      <c r="T217" s="2" t="s">
        <v>59</v>
      </c>
      <c r="V217" s="6"/>
      <c r="W217" s="2" t="s">
        <v>51</v>
      </c>
      <c r="X217" s="2" t="s">
        <v>162</v>
      </c>
      <c r="Y217" s="2" t="s">
        <v>53</v>
      </c>
      <c r="Z217" s="3">
        <v>7.0</v>
      </c>
      <c r="AA217" s="2" t="s">
        <v>54</v>
      </c>
      <c r="AB217" s="3">
        <v>17.0</v>
      </c>
      <c r="AC217" s="3">
        <v>17.0</v>
      </c>
      <c r="AD217" s="7">
        <v>0.3193</v>
      </c>
      <c r="AE217" s="3">
        <v>38.0</v>
      </c>
      <c r="AF217" s="3">
        <v>9.0</v>
      </c>
      <c r="AG217" s="3">
        <v>0.0</v>
      </c>
      <c r="AH217" s="3">
        <v>7.0</v>
      </c>
      <c r="AI217" s="3">
        <v>0.0</v>
      </c>
      <c r="AJ217" s="3">
        <v>2.0</v>
      </c>
      <c r="AK217" s="3">
        <v>7.0</v>
      </c>
    </row>
    <row r="218">
      <c r="A218" s="2" t="s">
        <v>37</v>
      </c>
      <c r="B218" s="3">
        <v>39813.0</v>
      </c>
      <c r="C218" s="3" t="s">
        <v>821</v>
      </c>
      <c r="D218" s="3" t="s">
        <v>38</v>
      </c>
      <c r="E218" s="2" t="s">
        <v>39</v>
      </c>
      <c r="F218" s="3">
        <v>59903.0</v>
      </c>
      <c r="G218" s="2" t="s">
        <v>818</v>
      </c>
      <c r="H218" s="5">
        <v>44811.35487268519</v>
      </c>
      <c r="I218" s="2" t="s">
        <v>819</v>
      </c>
      <c r="J218" s="2" t="s">
        <v>156</v>
      </c>
      <c r="K218" s="2" t="s">
        <v>59</v>
      </c>
      <c r="L218" s="2" t="s">
        <v>44</v>
      </c>
      <c r="M218" s="6"/>
      <c r="N218" s="6"/>
      <c r="O218" s="2" t="s">
        <v>820</v>
      </c>
      <c r="P218" s="4">
        <v>46115.0</v>
      </c>
      <c r="Q218" s="3" t="s">
        <v>236</v>
      </c>
      <c r="R218" s="3">
        <v>1324.0</v>
      </c>
      <c r="S218" s="2" t="s">
        <v>392</v>
      </c>
      <c r="T218" s="2" t="s">
        <v>59</v>
      </c>
      <c r="V218" s="6"/>
      <c r="W218" s="2" t="s">
        <v>51</v>
      </c>
      <c r="X218" s="2" t="s">
        <v>162</v>
      </c>
      <c r="Y218" s="2" t="s">
        <v>163</v>
      </c>
      <c r="Z218" s="3">
        <v>7.0</v>
      </c>
      <c r="AA218" s="2" t="s">
        <v>164</v>
      </c>
      <c r="AB218" s="3">
        <v>17.0</v>
      </c>
      <c r="AC218" s="3">
        <v>17.0</v>
      </c>
      <c r="AD218" s="7">
        <v>0.3824</v>
      </c>
      <c r="AE218" s="3">
        <v>39.0</v>
      </c>
      <c r="AF218" s="3">
        <v>8.0</v>
      </c>
      <c r="AG218" s="3">
        <v>0.0</v>
      </c>
      <c r="AH218" s="3">
        <v>6.0</v>
      </c>
      <c r="AI218" s="3">
        <v>0.0</v>
      </c>
      <c r="AJ218" s="3">
        <v>2.0</v>
      </c>
      <c r="AK218" s="3">
        <v>6.0</v>
      </c>
    </row>
    <row r="219">
      <c r="A219" s="2" t="s">
        <v>37</v>
      </c>
      <c r="B219" s="3">
        <v>39814.0</v>
      </c>
      <c r="C219" s="3" t="s">
        <v>821</v>
      </c>
      <c r="D219" s="3" t="s">
        <v>38</v>
      </c>
      <c r="E219" s="2" t="s">
        <v>39</v>
      </c>
      <c r="F219" s="3">
        <v>59903.0</v>
      </c>
      <c r="G219" s="2" t="s">
        <v>818</v>
      </c>
      <c r="H219" s="5">
        <v>44811.35487268519</v>
      </c>
      <c r="I219" s="2" t="s">
        <v>819</v>
      </c>
      <c r="J219" s="2" t="s">
        <v>156</v>
      </c>
      <c r="K219" s="2" t="s">
        <v>59</v>
      </c>
      <c r="L219" s="2" t="s">
        <v>44</v>
      </c>
      <c r="M219" s="6"/>
      <c r="N219" s="6"/>
      <c r="O219" s="2" t="s">
        <v>820</v>
      </c>
      <c r="P219" s="4">
        <v>46176.0</v>
      </c>
      <c r="Q219" s="3" t="s">
        <v>63</v>
      </c>
      <c r="R219" s="3">
        <v>1324.0</v>
      </c>
      <c r="S219" s="2" t="s">
        <v>392</v>
      </c>
      <c r="T219" s="2" t="s">
        <v>59</v>
      </c>
      <c r="V219" s="6"/>
      <c r="W219" s="2" t="s">
        <v>51</v>
      </c>
      <c r="X219" s="2" t="s">
        <v>162</v>
      </c>
      <c r="Y219" s="2" t="s">
        <v>163</v>
      </c>
      <c r="Z219" s="3">
        <v>7.0</v>
      </c>
      <c r="AA219" s="2" t="s">
        <v>318</v>
      </c>
      <c r="AB219" s="3">
        <v>17.0</v>
      </c>
      <c r="AC219" s="3">
        <v>17.0</v>
      </c>
      <c r="AD219" s="7">
        <v>0.3529</v>
      </c>
      <c r="AE219" s="3">
        <v>42.0</v>
      </c>
      <c r="AF219" s="3">
        <v>8.0</v>
      </c>
      <c r="AG219" s="3">
        <v>0.0</v>
      </c>
      <c r="AH219" s="3">
        <v>7.0</v>
      </c>
      <c r="AI219" s="3">
        <v>0.0</v>
      </c>
      <c r="AJ219" s="3">
        <v>1.0</v>
      </c>
      <c r="AK219" s="3">
        <v>7.0</v>
      </c>
    </row>
    <row r="220">
      <c r="A220" s="2" t="s">
        <v>37</v>
      </c>
      <c r="B220" s="3">
        <v>38947.0</v>
      </c>
      <c r="C220" s="4">
        <v>45666.0</v>
      </c>
      <c r="D220" s="3" t="s">
        <v>38</v>
      </c>
      <c r="E220" s="2" t="s">
        <v>72</v>
      </c>
      <c r="F220" s="3">
        <v>85622.0</v>
      </c>
      <c r="G220" s="2" t="s">
        <v>822</v>
      </c>
      <c r="H220" s="5">
        <v>45907.71314814815</v>
      </c>
      <c r="I220" s="2" t="s">
        <v>57</v>
      </c>
      <c r="J220" s="2" t="s">
        <v>120</v>
      </c>
      <c r="K220" s="2" t="s">
        <v>121</v>
      </c>
      <c r="L220" s="2" t="s">
        <v>44</v>
      </c>
      <c r="M220" s="2" t="s">
        <v>60</v>
      </c>
      <c r="N220" s="2" t="s">
        <v>823</v>
      </c>
      <c r="O220" s="2" t="s">
        <v>824</v>
      </c>
      <c r="P220" s="4">
        <v>46056.0</v>
      </c>
      <c r="Q220" s="4">
        <v>46206.0</v>
      </c>
      <c r="R220" s="3">
        <v>1830.0</v>
      </c>
      <c r="S220" s="2" t="s">
        <v>572</v>
      </c>
      <c r="T220" s="2" t="s">
        <v>81</v>
      </c>
      <c r="U220" s="2" t="s">
        <v>573</v>
      </c>
      <c r="V220" s="2" t="s">
        <v>83</v>
      </c>
      <c r="W220" s="2" t="s">
        <v>68</v>
      </c>
      <c r="X220" s="2" t="s">
        <v>69</v>
      </c>
      <c r="Y220" s="2" t="s">
        <v>53</v>
      </c>
      <c r="Z220" s="3">
        <v>9.0</v>
      </c>
      <c r="AA220" s="2" t="s">
        <v>125</v>
      </c>
      <c r="AB220" s="3">
        <v>27.0</v>
      </c>
      <c r="AC220" s="3">
        <v>27.0</v>
      </c>
      <c r="AD220" s="7">
        <v>0.3519</v>
      </c>
      <c r="AE220" s="3">
        <v>19.0</v>
      </c>
      <c r="AF220" s="3">
        <v>2.0</v>
      </c>
      <c r="AG220" s="3">
        <v>0.0</v>
      </c>
      <c r="AH220" s="3">
        <v>1.0</v>
      </c>
      <c r="AI220" s="3">
        <v>1.0</v>
      </c>
      <c r="AJ220" s="3">
        <v>0.0</v>
      </c>
      <c r="AK220" s="3">
        <v>2.0</v>
      </c>
    </row>
    <row r="221">
      <c r="A221" s="2" t="s">
        <v>37</v>
      </c>
      <c r="B221" s="3">
        <v>39867.0</v>
      </c>
      <c r="C221" s="8">
        <v>46003.0</v>
      </c>
      <c r="D221" s="3" t="s">
        <v>38</v>
      </c>
      <c r="E221" s="2" t="s">
        <v>39</v>
      </c>
      <c r="F221" s="3">
        <v>87174.0</v>
      </c>
      <c r="G221" s="2" t="s">
        <v>825</v>
      </c>
      <c r="H221" s="5">
        <v>45992.95476851852</v>
      </c>
      <c r="I221" s="2" t="s">
        <v>144</v>
      </c>
      <c r="J221" s="2" t="s">
        <v>145</v>
      </c>
      <c r="K221" s="2" t="s">
        <v>59</v>
      </c>
      <c r="L221" s="2" t="s">
        <v>44</v>
      </c>
      <c r="M221" s="2" t="s">
        <v>77</v>
      </c>
      <c r="N221" s="2" t="s">
        <v>100</v>
      </c>
      <c r="O221" s="2" t="s">
        <v>826</v>
      </c>
      <c r="P221" s="4">
        <v>46056.0</v>
      </c>
      <c r="Q221" s="3" t="s">
        <v>827</v>
      </c>
      <c r="R221" s="3">
        <v>2027.0</v>
      </c>
      <c r="S221" s="2" t="s">
        <v>526</v>
      </c>
      <c r="T221" s="2" t="s">
        <v>43</v>
      </c>
      <c r="U221" s="2" t="s">
        <v>527</v>
      </c>
      <c r="V221" s="2" t="s">
        <v>528</v>
      </c>
      <c r="W221" s="2" t="s">
        <v>51</v>
      </c>
      <c r="X221" s="2" t="s">
        <v>172</v>
      </c>
      <c r="Y221" s="2" t="s">
        <v>796</v>
      </c>
      <c r="Z221" s="3">
        <v>7.0</v>
      </c>
      <c r="AA221" s="2" t="s">
        <v>164</v>
      </c>
      <c r="AB221" s="3">
        <v>6.0</v>
      </c>
      <c r="AC221" s="3">
        <v>6.0</v>
      </c>
      <c r="AD221" s="7">
        <v>0.8611</v>
      </c>
      <c r="AE221" s="3">
        <v>31.0</v>
      </c>
      <c r="AF221" s="3">
        <v>6.0</v>
      </c>
      <c r="AG221" s="3">
        <v>0.0</v>
      </c>
      <c r="AH221" s="3">
        <v>0.0</v>
      </c>
      <c r="AI221" s="3">
        <v>6.0</v>
      </c>
      <c r="AJ221" s="3">
        <v>0.0</v>
      </c>
      <c r="AK221" s="3">
        <v>6.0</v>
      </c>
    </row>
    <row r="222">
      <c r="A222" s="2" t="s">
        <v>37</v>
      </c>
      <c r="B222" s="3">
        <v>36987.0</v>
      </c>
      <c r="C222" s="4">
        <v>45662.0</v>
      </c>
      <c r="D222" s="3" t="s">
        <v>38</v>
      </c>
      <c r="E222" s="2" t="s">
        <v>39</v>
      </c>
      <c r="F222" s="3">
        <v>77267.0</v>
      </c>
      <c r="G222" s="2" t="s">
        <v>828</v>
      </c>
      <c r="H222" s="5">
        <v>45574.511828703704</v>
      </c>
      <c r="I222" s="2" t="s">
        <v>57</v>
      </c>
      <c r="J222" s="2" t="s">
        <v>829</v>
      </c>
      <c r="K222" s="2" t="s">
        <v>513</v>
      </c>
      <c r="L222" s="2" t="s">
        <v>44</v>
      </c>
      <c r="M222" s="2" t="s">
        <v>89</v>
      </c>
      <c r="N222" s="2" t="s">
        <v>830</v>
      </c>
      <c r="O222" s="2" t="s">
        <v>831</v>
      </c>
      <c r="P222" s="4">
        <v>46268.0</v>
      </c>
      <c r="Q222" s="4">
        <v>46329.0</v>
      </c>
      <c r="R222" s="3">
        <v>1720.0</v>
      </c>
      <c r="S222" s="2" t="s">
        <v>230</v>
      </c>
      <c r="T222" s="2" t="s">
        <v>65</v>
      </c>
      <c r="U222" s="2" t="s">
        <v>104</v>
      </c>
      <c r="V222" s="2" t="s">
        <v>150</v>
      </c>
      <c r="W222" s="2" t="s">
        <v>51</v>
      </c>
      <c r="X222" s="2" t="s">
        <v>69</v>
      </c>
      <c r="Y222" s="2" t="s">
        <v>53</v>
      </c>
      <c r="Z222" s="3">
        <v>8.0</v>
      </c>
      <c r="AA222" s="2" t="s">
        <v>54</v>
      </c>
      <c r="AB222" s="3">
        <v>32.0</v>
      </c>
      <c r="AC222" s="3">
        <v>32.0</v>
      </c>
      <c r="AD222" s="7">
        <v>0.375</v>
      </c>
      <c r="AE222" s="3">
        <v>24.0</v>
      </c>
      <c r="AF222" s="3">
        <v>2.0</v>
      </c>
      <c r="AG222" s="3">
        <v>0.0</v>
      </c>
      <c r="AH222" s="3">
        <v>1.0</v>
      </c>
      <c r="AI222" s="3">
        <v>1.0</v>
      </c>
      <c r="AJ222" s="3">
        <v>0.0</v>
      </c>
      <c r="AK222" s="3">
        <v>2.0</v>
      </c>
    </row>
    <row r="223">
      <c r="A223" s="2" t="s">
        <v>37</v>
      </c>
      <c r="B223" s="3">
        <v>38945.0</v>
      </c>
      <c r="C223" s="4">
        <v>45666.0</v>
      </c>
      <c r="D223" s="3" t="s">
        <v>38</v>
      </c>
      <c r="E223" s="2" t="s">
        <v>72</v>
      </c>
      <c r="F223" s="3">
        <v>65577.0</v>
      </c>
      <c r="G223" s="2" t="s">
        <v>832</v>
      </c>
      <c r="H223" s="5">
        <v>45106.11982638889</v>
      </c>
      <c r="I223" s="2" t="s">
        <v>213</v>
      </c>
      <c r="J223" s="2" t="s">
        <v>332</v>
      </c>
      <c r="K223" s="2" t="s">
        <v>65</v>
      </c>
      <c r="L223" s="2" t="s">
        <v>44</v>
      </c>
      <c r="M223" s="2" t="s">
        <v>111</v>
      </c>
      <c r="N223" s="2" t="s">
        <v>334</v>
      </c>
      <c r="O223" s="2" t="s">
        <v>833</v>
      </c>
      <c r="P223" s="4">
        <v>46084.0</v>
      </c>
      <c r="Q223" s="4">
        <v>46176.0</v>
      </c>
      <c r="R223" s="3">
        <v>1766.0</v>
      </c>
      <c r="S223" s="2" t="s">
        <v>482</v>
      </c>
      <c r="T223" s="2" t="s">
        <v>81</v>
      </c>
      <c r="U223" s="2" t="s">
        <v>416</v>
      </c>
      <c r="V223" s="2" t="s">
        <v>83</v>
      </c>
      <c r="W223" s="2" t="s">
        <v>68</v>
      </c>
      <c r="X223" s="2" t="s">
        <v>69</v>
      </c>
      <c r="Y223" s="2" t="s">
        <v>53</v>
      </c>
      <c r="Z223" s="3">
        <v>9.0</v>
      </c>
      <c r="AA223" s="2" t="s">
        <v>125</v>
      </c>
      <c r="AB223" s="3">
        <v>28.0</v>
      </c>
      <c r="AC223" s="3">
        <v>28.0</v>
      </c>
      <c r="AD223" s="7">
        <v>0.7143</v>
      </c>
      <c r="AE223" s="3">
        <v>40.0</v>
      </c>
      <c r="AF223" s="3">
        <v>2.0</v>
      </c>
      <c r="AG223" s="3">
        <v>0.0</v>
      </c>
      <c r="AH223" s="3">
        <v>1.0</v>
      </c>
      <c r="AI223" s="3">
        <v>1.0</v>
      </c>
      <c r="AJ223" s="3">
        <v>0.0</v>
      </c>
      <c r="AK223" s="3">
        <v>2.0</v>
      </c>
    </row>
    <row r="224">
      <c r="A224" s="2" t="s">
        <v>37</v>
      </c>
      <c r="B224" s="3">
        <v>38551.0</v>
      </c>
      <c r="C224" s="4">
        <v>45664.0</v>
      </c>
      <c r="D224" s="3" t="s">
        <v>38</v>
      </c>
      <c r="E224" s="2" t="s">
        <v>39</v>
      </c>
      <c r="F224" s="3">
        <v>83303.0</v>
      </c>
      <c r="G224" s="2" t="s">
        <v>834</v>
      </c>
      <c r="H224" s="5">
        <v>45853.64611111111</v>
      </c>
      <c r="I224" s="2" t="s">
        <v>108</v>
      </c>
      <c r="J224" s="2" t="s">
        <v>121</v>
      </c>
      <c r="K224" s="2" t="s">
        <v>121</v>
      </c>
      <c r="L224" s="2" t="s">
        <v>44</v>
      </c>
      <c r="M224" s="2" t="s">
        <v>111</v>
      </c>
      <c r="N224" s="2" t="s">
        <v>835</v>
      </c>
      <c r="O224" s="2" t="s">
        <v>836</v>
      </c>
      <c r="P224" s="4">
        <v>46268.0</v>
      </c>
      <c r="Q224" s="4">
        <v>46359.0</v>
      </c>
      <c r="R224" s="3">
        <v>1986.0</v>
      </c>
      <c r="S224" s="2" t="s">
        <v>240</v>
      </c>
      <c r="T224" s="2" t="s">
        <v>65</v>
      </c>
      <c r="U224" s="2" t="s">
        <v>104</v>
      </c>
      <c r="V224" s="2" t="s">
        <v>150</v>
      </c>
      <c r="W224" s="2" t="s">
        <v>51</v>
      </c>
      <c r="X224" s="2" t="s">
        <v>69</v>
      </c>
      <c r="Y224" s="2" t="s">
        <v>53</v>
      </c>
      <c r="Z224" s="3">
        <v>6.0</v>
      </c>
      <c r="AA224" s="2" t="s">
        <v>231</v>
      </c>
      <c r="AB224" s="3">
        <v>50.0</v>
      </c>
      <c r="AC224" s="3">
        <v>50.0</v>
      </c>
      <c r="AD224" s="7">
        <v>0.77</v>
      </c>
      <c r="AE224" s="3">
        <v>77.0</v>
      </c>
      <c r="AF224" s="3">
        <v>2.0</v>
      </c>
      <c r="AG224" s="3">
        <v>0.0</v>
      </c>
      <c r="AH224" s="3">
        <v>2.0</v>
      </c>
      <c r="AI224" s="3">
        <v>0.0</v>
      </c>
      <c r="AJ224" s="3">
        <v>0.0</v>
      </c>
      <c r="AK224" s="3">
        <v>2.0</v>
      </c>
    </row>
    <row r="225">
      <c r="A225" s="2" t="s">
        <v>37</v>
      </c>
      <c r="B225" s="3">
        <v>38968.0</v>
      </c>
      <c r="C225" s="4">
        <v>45666.0</v>
      </c>
      <c r="D225" s="3" t="s">
        <v>38</v>
      </c>
      <c r="E225" s="2" t="s">
        <v>72</v>
      </c>
      <c r="F225" s="3">
        <v>76318.0</v>
      </c>
      <c r="G225" s="2" t="s">
        <v>837</v>
      </c>
      <c r="H225" s="5">
        <v>45537.41162037037</v>
      </c>
      <c r="I225" s="2" t="s">
        <v>57</v>
      </c>
      <c r="J225" s="2" t="s">
        <v>838</v>
      </c>
      <c r="K225" s="2" t="s">
        <v>43</v>
      </c>
      <c r="L225" s="2" t="s">
        <v>44</v>
      </c>
      <c r="M225" s="2" t="s">
        <v>89</v>
      </c>
      <c r="N225" s="2" t="s">
        <v>839</v>
      </c>
      <c r="O225" s="2" t="s">
        <v>840</v>
      </c>
      <c r="P225" s="4">
        <v>46084.0</v>
      </c>
      <c r="Q225" s="4">
        <v>46145.0</v>
      </c>
      <c r="R225" s="3">
        <v>2014.0</v>
      </c>
      <c r="S225" s="2" t="s">
        <v>841</v>
      </c>
      <c r="T225" s="2" t="s">
        <v>43</v>
      </c>
      <c r="U225" s="2" t="s">
        <v>250</v>
      </c>
      <c r="V225" s="2" t="s">
        <v>251</v>
      </c>
      <c r="W225" s="2" t="s">
        <v>51</v>
      </c>
      <c r="X225" s="2" t="s">
        <v>172</v>
      </c>
      <c r="Y225" s="2" t="s">
        <v>53</v>
      </c>
      <c r="Z225" s="3">
        <v>6.0</v>
      </c>
      <c r="AA225" s="2" t="s">
        <v>180</v>
      </c>
      <c r="AB225" s="3">
        <v>31.0</v>
      </c>
      <c r="AC225" s="3">
        <v>31.0</v>
      </c>
      <c r="AD225" s="7">
        <v>0.9677</v>
      </c>
      <c r="AE225" s="3">
        <v>60.0</v>
      </c>
      <c r="AF225" s="3">
        <v>2.0</v>
      </c>
      <c r="AG225" s="3">
        <v>0.0</v>
      </c>
      <c r="AH225" s="3">
        <v>2.0</v>
      </c>
      <c r="AI225" s="3">
        <v>0.0</v>
      </c>
      <c r="AJ225" s="3">
        <v>0.0</v>
      </c>
      <c r="AK225" s="3">
        <v>2.0</v>
      </c>
    </row>
    <row r="226">
      <c r="A226" s="2" t="s">
        <v>37</v>
      </c>
      <c r="B226" s="3">
        <v>38831.0</v>
      </c>
      <c r="C226" s="3" t="s">
        <v>106</v>
      </c>
      <c r="D226" s="3" t="s">
        <v>38</v>
      </c>
      <c r="E226" s="2" t="s">
        <v>39</v>
      </c>
      <c r="F226" s="3">
        <v>83845.0</v>
      </c>
      <c r="G226" s="2" t="s">
        <v>842</v>
      </c>
      <c r="H226" s="5">
        <v>45855.5903587963</v>
      </c>
      <c r="I226" s="2" t="s">
        <v>108</v>
      </c>
      <c r="J226" s="2" t="s">
        <v>191</v>
      </c>
      <c r="K226" s="2" t="s">
        <v>110</v>
      </c>
      <c r="L226" s="2" t="s">
        <v>44</v>
      </c>
      <c r="M226" s="2" t="s">
        <v>111</v>
      </c>
      <c r="N226" s="2" t="s">
        <v>157</v>
      </c>
      <c r="O226" s="2" t="s">
        <v>843</v>
      </c>
      <c r="P226" s="4">
        <v>46145.0</v>
      </c>
      <c r="Q226" s="3" t="s">
        <v>194</v>
      </c>
      <c r="R226" s="3">
        <v>1335.0</v>
      </c>
      <c r="S226" s="2" t="s">
        <v>486</v>
      </c>
      <c r="T226" s="2" t="s">
        <v>110</v>
      </c>
      <c r="U226" s="2" t="s">
        <v>115</v>
      </c>
      <c r="V226" s="2" t="s">
        <v>116</v>
      </c>
      <c r="W226" s="2" t="s">
        <v>51</v>
      </c>
      <c r="X226" s="2" t="s">
        <v>117</v>
      </c>
      <c r="Y226" s="2" t="s">
        <v>188</v>
      </c>
      <c r="Z226" s="3">
        <v>6.0</v>
      </c>
      <c r="AA226" s="2" t="s">
        <v>164</v>
      </c>
      <c r="AB226" s="3">
        <v>12.0</v>
      </c>
      <c r="AC226" s="3">
        <v>12.0</v>
      </c>
      <c r="AD226" s="7">
        <v>1.0</v>
      </c>
      <c r="AE226" s="3">
        <v>48.0</v>
      </c>
      <c r="AF226" s="3">
        <v>4.0</v>
      </c>
      <c r="AG226" s="3">
        <v>0.0</v>
      </c>
      <c r="AH226" s="3">
        <v>4.0</v>
      </c>
      <c r="AI226" s="3">
        <v>0.0</v>
      </c>
      <c r="AJ226" s="3">
        <v>0.0</v>
      </c>
      <c r="AK226" s="3">
        <v>4.0</v>
      </c>
    </row>
    <row r="227">
      <c r="A227" s="2" t="s">
        <v>37</v>
      </c>
      <c r="B227" s="3">
        <v>37051.0</v>
      </c>
      <c r="C227" s="3" t="s">
        <v>196</v>
      </c>
      <c r="D227" s="3" t="s">
        <v>38</v>
      </c>
      <c r="E227" s="2" t="s">
        <v>39</v>
      </c>
      <c r="F227" s="3">
        <v>82008.0</v>
      </c>
      <c r="G227" s="2" t="s">
        <v>844</v>
      </c>
      <c r="H227" s="5">
        <v>45826.61131944445</v>
      </c>
      <c r="I227" s="2" t="s">
        <v>442</v>
      </c>
      <c r="J227" s="2" t="s">
        <v>127</v>
      </c>
      <c r="K227" s="2" t="s">
        <v>128</v>
      </c>
      <c r="L227" s="2" t="s">
        <v>44</v>
      </c>
      <c r="M227" s="2" t="s">
        <v>111</v>
      </c>
      <c r="N227" s="2" t="s">
        <v>845</v>
      </c>
      <c r="O227" s="2" t="s">
        <v>846</v>
      </c>
      <c r="P227" s="4">
        <v>46176.0</v>
      </c>
      <c r="Q227" s="3" t="s">
        <v>194</v>
      </c>
      <c r="R227" s="3">
        <v>1711.0</v>
      </c>
      <c r="S227" s="2" t="s">
        <v>344</v>
      </c>
      <c r="T227" s="2" t="s">
        <v>48</v>
      </c>
      <c r="U227" s="2" t="s">
        <v>49</v>
      </c>
      <c r="V227" s="2" t="s">
        <v>50</v>
      </c>
      <c r="W227" s="2" t="s">
        <v>51</v>
      </c>
      <c r="X227" s="2" t="s">
        <v>52</v>
      </c>
      <c r="Y227" s="2" t="s">
        <v>53</v>
      </c>
      <c r="Z227" s="3">
        <v>7.0</v>
      </c>
      <c r="AA227" s="2" t="s">
        <v>54</v>
      </c>
      <c r="AB227" s="3">
        <v>23.0</v>
      </c>
      <c r="AC227" s="3">
        <v>23.0</v>
      </c>
      <c r="AD227" s="7">
        <v>0.942</v>
      </c>
      <c r="AE227" s="3">
        <v>65.0</v>
      </c>
      <c r="AF227" s="3">
        <v>3.0</v>
      </c>
      <c r="AG227" s="3">
        <v>0.0</v>
      </c>
      <c r="AH227" s="3">
        <v>1.0</v>
      </c>
      <c r="AI227" s="3">
        <v>2.0</v>
      </c>
      <c r="AJ227" s="3">
        <v>0.0</v>
      </c>
      <c r="AK227" s="3">
        <v>3.0</v>
      </c>
    </row>
    <row r="228">
      <c r="A228" s="2" t="s">
        <v>37</v>
      </c>
      <c r="B228" s="3">
        <v>36799.0</v>
      </c>
      <c r="C228" s="3" t="s">
        <v>71</v>
      </c>
      <c r="D228" s="3" t="s">
        <v>38</v>
      </c>
      <c r="E228" s="2" t="s">
        <v>72</v>
      </c>
      <c r="F228" s="3">
        <v>71175.0</v>
      </c>
      <c r="G228" s="2" t="s">
        <v>847</v>
      </c>
      <c r="H228" s="5">
        <v>45314.95730324074</v>
      </c>
      <c r="I228" s="2" t="s">
        <v>57</v>
      </c>
      <c r="J228" s="2" t="s">
        <v>848</v>
      </c>
      <c r="K228" s="2" t="s">
        <v>286</v>
      </c>
      <c r="L228" s="2" t="s">
        <v>44</v>
      </c>
      <c r="M228" s="2" t="s">
        <v>553</v>
      </c>
      <c r="N228" s="2" t="s">
        <v>849</v>
      </c>
      <c r="O228" s="2" t="s">
        <v>850</v>
      </c>
      <c r="P228" s="4">
        <v>46176.0</v>
      </c>
      <c r="Q228" s="4">
        <v>46206.0</v>
      </c>
      <c r="R228" s="3">
        <v>1764.0</v>
      </c>
      <c r="S228" s="2" t="s">
        <v>300</v>
      </c>
      <c r="T228" s="2" t="s">
        <v>81</v>
      </c>
      <c r="U228" s="2" t="s">
        <v>301</v>
      </c>
      <c r="V228" s="2" t="s">
        <v>83</v>
      </c>
      <c r="W228" s="2" t="s">
        <v>68</v>
      </c>
      <c r="X228" s="2" t="s">
        <v>69</v>
      </c>
      <c r="Y228" s="2" t="s">
        <v>53</v>
      </c>
      <c r="Z228" s="3">
        <v>7.0</v>
      </c>
      <c r="AA228" s="2" t="s">
        <v>141</v>
      </c>
      <c r="AB228" s="3">
        <v>30.0</v>
      </c>
      <c r="AC228" s="3">
        <v>30.0</v>
      </c>
      <c r="AD228" s="7">
        <v>0.95</v>
      </c>
      <c r="AE228" s="3">
        <v>57.0</v>
      </c>
      <c r="AF228" s="3">
        <v>2.0</v>
      </c>
      <c r="AG228" s="3">
        <v>0.0</v>
      </c>
      <c r="AH228" s="3">
        <v>1.0</v>
      </c>
      <c r="AI228" s="3">
        <v>1.0</v>
      </c>
      <c r="AJ228" s="3">
        <v>0.0</v>
      </c>
      <c r="AK228" s="3">
        <v>2.0</v>
      </c>
    </row>
    <row r="229">
      <c r="A229" s="2" t="s">
        <v>37</v>
      </c>
      <c r="B229" s="3">
        <v>36849.0</v>
      </c>
      <c r="C229" s="3" t="s">
        <v>71</v>
      </c>
      <c r="D229" s="3" t="s">
        <v>38</v>
      </c>
      <c r="E229" s="2" t="s">
        <v>72</v>
      </c>
      <c r="F229" s="3">
        <v>74123.0</v>
      </c>
      <c r="G229" s="2" t="s">
        <v>851</v>
      </c>
      <c r="H229" s="5">
        <v>45484.666597222225</v>
      </c>
      <c r="I229" s="2" t="s">
        <v>296</v>
      </c>
      <c r="J229" s="2" t="s">
        <v>383</v>
      </c>
      <c r="K229" s="2" t="s">
        <v>81</v>
      </c>
      <c r="L229" s="2" t="s">
        <v>44</v>
      </c>
      <c r="M229" s="2" t="s">
        <v>89</v>
      </c>
      <c r="N229" s="2" t="s">
        <v>298</v>
      </c>
      <c r="O229" s="2" t="s">
        <v>852</v>
      </c>
      <c r="P229" s="4">
        <v>46206.0</v>
      </c>
      <c r="Q229" s="4">
        <v>46206.0</v>
      </c>
      <c r="R229" s="3">
        <v>1830.0</v>
      </c>
      <c r="S229" s="2" t="s">
        <v>572</v>
      </c>
      <c r="T229" s="2" t="s">
        <v>81</v>
      </c>
      <c r="U229" s="2" t="s">
        <v>573</v>
      </c>
      <c r="V229" s="2" t="s">
        <v>83</v>
      </c>
      <c r="W229" s="2" t="s">
        <v>68</v>
      </c>
      <c r="X229" s="2" t="s">
        <v>69</v>
      </c>
      <c r="Y229" s="2" t="s">
        <v>53</v>
      </c>
      <c r="Z229" s="3">
        <v>9.0</v>
      </c>
      <c r="AA229" s="2" t="s">
        <v>84</v>
      </c>
      <c r="AB229" s="3">
        <v>27.0</v>
      </c>
      <c r="AC229" s="3">
        <v>27.0</v>
      </c>
      <c r="AD229" s="7">
        <v>0.4815</v>
      </c>
      <c r="AE229" s="3">
        <v>13.0</v>
      </c>
      <c r="AF229" s="3">
        <v>1.0</v>
      </c>
      <c r="AG229" s="3">
        <v>0.0</v>
      </c>
      <c r="AH229" s="3">
        <v>1.0</v>
      </c>
      <c r="AI229" s="3">
        <v>0.0</v>
      </c>
      <c r="AJ229" s="3">
        <v>0.0</v>
      </c>
      <c r="AK229" s="3">
        <v>1.0</v>
      </c>
    </row>
    <row r="230">
      <c r="A230" s="2" t="s">
        <v>37</v>
      </c>
      <c r="B230" s="3">
        <v>36876.0</v>
      </c>
      <c r="C230" s="3" t="s">
        <v>302</v>
      </c>
      <c r="D230" s="3" t="s">
        <v>38</v>
      </c>
      <c r="E230" s="2" t="s">
        <v>72</v>
      </c>
      <c r="F230" s="3">
        <v>74123.0</v>
      </c>
      <c r="G230" s="2" t="s">
        <v>851</v>
      </c>
      <c r="H230" s="5">
        <v>45484.666597222225</v>
      </c>
      <c r="I230" s="2" t="s">
        <v>296</v>
      </c>
      <c r="J230" s="2" t="s">
        <v>383</v>
      </c>
      <c r="K230" s="2" t="s">
        <v>81</v>
      </c>
      <c r="L230" s="2" t="s">
        <v>44</v>
      </c>
      <c r="M230" s="2" t="s">
        <v>89</v>
      </c>
      <c r="N230" s="2" t="s">
        <v>298</v>
      </c>
      <c r="O230" s="2" t="s">
        <v>852</v>
      </c>
      <c r="P230" s="4">
        <v>46176.0</v>
      </c>
      <c r="Q230" s="4">
        <v>46176.0</v>
      </c>
      <c r="R230" s="3">
        <v>1830.0</v>
      </c>
      <c r="S230" s="2" t="s">
        <v>572</v>
      </c>
      <c r="T230" s="2" t="s">
        <v>81</v>
      </c>
      <c r="U230" s="2" t="s">
        <v>573</v>
      </c>
      <c r="V230" s="2" t="s">
        <v>83</v>
      </c>
      <c r="W230" s="2" t="s">
        <v>68</v>
      </c>
      <c r="X230" s="2" t="s">
        <v>69</v>
      </c>
      <c r="Y230" s="2" t="s">
        <v>53</v>
      </c>
      <c r="Z230" s="3">
        <v>7.0</v>
      </c>
      <c r="AA230" s="2" t="s">
        <v>141</v>
      </c>
      <c r="AB230" s="3">
        <v>26.0</v>
      </c>
      <c r="AC230" s="3">
        <v>26.0</v>
      </c>
      <c r="AD230" s="7">
        <v>0.7692</v>
      </c>
      <c r="AE230" s="3">
        <v>20.0</v>
      </c>
      <c r="AF230" s="3">
        <v>1.0</v>
      </c>
      <c r="AG230" s="3">
        <v>0.0</v>
      </c>
      <c r="AH230" s="3">
        <v>1.0</v>
      </c>
      <c r="AI230" s="3">
        <v>0.0</v>
      </c>
      <c r="AJ230" s="3">
        <v>0.0</v>
      </c>
      <c r="AK230" s="3">
        <v>1.0</v>
      </c>
    </row>
    <row r="231">
      <c r="A231" s="2" t="s">
        <v>37</v>
      </c>
      <c r="B231" s="3">
        <v>36877.0</v>
      </c>
      <c r="C231" s="3" t="s">
        <v>302</v>
      </c>
      <c r="D231" s="3" t="s">
        <v>38</v>
      </c>
      <c r="E231" s="2" t="s">
        <v>72</v>
      </c>
      <c r="F231" s="3">
        <v>74123.0</v>
      </c>
      <c r="G231" s="2" t="s">
        <v>851</v>
      </c>
      <c r="H231" s="5">
        <v>45484.666597222225</v>
      </c>
      <c r="I231" s="2" t="s">
        <v>296</v>
      </c>
      <c r="J231" s="2" t="s">
        <v>383</v>
      </c>
      <c r="K231" s="2" t="s">
        <v>81</v>
      </c>
      <c r="L231" s="2" t="s">
        <v>44</v>
      </c>
      <c r="M231" s="2" t="s">
        <v>89</v>
      </c>
      <c r="N231" s="2" t="s">
        <v>298</v>
      </c>
      <c r="O231" s="2" t="s">
        <v>852</v>
      </c>
      <c r="P231" s="4">
        <v>46206.0</v>
      </c>
      <c r="Q231" s="4">
        <v>46206.0</v>
      </c>
      <c r="R231" s="3">
        <v>1830.0</v>
      </c>
      <c r="S231" s="2" t="s">
        <v>572</v>
      </c>
      <c r="T231" s="2" t="s">
        <v>81</v>
      </c>
      <c r="U231" s="2" t="s">
        <v>573</v>
      </c>
      <c r="V231" s="2" t="s">
        <v>83</v>
      </c>
      <c r="W231" s="2" t="s">
        <v>68</v>
      </c>
      <c r="X231" s="2" t="s">
        <v>69</v>
      </c>
      <c r="Y231" s="2" t="s">
        <v>53</v>
      </c>
      <c r="Z231" s="3">
        <v>8.0</v>
      </c>
      <c r="AA231" s="2" t="s">
        <v>141</v>
      </c>
      <c r="AB231" s="3">
        <v>23.0</v>
      </c>
      <c r="AC231" s="3">
        <v>23.0</v>
      </c>
      <c r="AD231" s="7">
        <v>0.7826</v>
      </c>
      <c r="AE231" s="3">
        <v>18.0</v>
      </c>
      <c r="AF231" s="3">
        <v>1.0</v>
      </c>
      <c r="AG231" s="3">
        <v>0.0</v>
      </c>
      <c r="AH231" s="3">
        <v>1.0</v>
      </c>
      <c r="AI231" s="3">
        <v>0.0</v>
      </c>
      <c r="AJ231" s="3">
        <v>0.0</v>
      </c>
      <c r="AK231" s="3">
        <v>1.0</v>
      </c>
    </row>
    <row r="232">
      <c r="A232" s="2" t="s">
        <v>37</v>
      </c>
      <c r="B232" s="3">
        <v>36989.0</v>
      </c>
      <c r="C232" s="4">
        <v>45662.0</v>
      </c>
      <c r="D232" s="3" t="s">
        <v>38</v>
      </c>
      <c r="E232" s="2" t="s">
        <v>72</v>
      </c>
      <c r="F232" s="3">
        <v>74123.0</v>
      </c>
      <c r="G232" s="2" t="s">
        <v>851</v>
      </c>
      <c r="H232" s="5">
        <v>45484.666597222225</v>
      </c>
      <c r="I232" s="2" t="s">
        <v>296</v>
      </c>
      <c r="J232" s="2" t="s">
        <v>383</v>
      </c>
      <c r="K232" s="2" t="s">
        <v>81</v>
      </c>
      <c r="L232" s="2" t="s">
        <v>44</v>
      </c>
      <c r="M232" s="2" t="s">
        <v>89</v>
      </c>
      <c r="N232" s="2" t="s">
        <v>298</v>
      </c>
      <c r="O232" s="2" t="s">
        <v>852</v>
      </c>
      <c r="P232" s="4">
        <v>46176.0</v>
      </c>
      <c r="Q232" s="4">
        <v>46176.0</v>
      </c>
      <c r="R232" s="3">
        <v>1830.0</v>
      </c>
      <c r="S232" s="2" t="s">
        <v>572</v>
      </c>
      <c r="T232" s="2" t="s">
        <v>81</v>
      </c>
      <c r="U232" s="2" t="s">
        <v>573</v>
      </c>
      <c r="V232" s="2" t="s">
        <v>83</v>
      </c>
      <c r="W232" s="2" t="s">
        <v>68</v>
      </c>
      <c r="X232" s="2" t="s">
        <v>69</v>
      </c>
      <c r="Y232" s="2" t="s">
        <v>53</v>
      </c>
      <c r="Z232" s="3">
        <v>6.0</v>
      </c>
      <c r="AA232" s="2" t="s">
        <v>180</v>
      </c>
      <c r="AB232" s="3">
        <v>27.0</v>
      </c>
      <c r="AC232" s="3">
        <v>27.0</v>
      </c>
      <c r="AD232" s="7">
        <v>0.7037</v>
      </c>
      <c r="AE232" s="3">
        <v>19.0</v>
      </c>
      <c r="AF232" s="3">
        <v>1.0</v>
      </c>
      <c r="AG232" s="3">
        <v>0.0</v>
      </c>
      <c r="AH232" s="3">
        <v>1.0</v>
      </c>
      <c r="AI232" s="3">
        <v>0.0</v>
      </c>
      <c r="AJ232" s="3">
        <v>0.0</v>
      </c>
      <c r="AK232" s="3">
        <v>1.0</v>
      </c>
    </row>
    <row r="233">
      <c r="A233" s="2" t="s">
        <v>37</v>
      </c>
      <c r="B233" s="3">
        <v>40207.0</v>
      </c>
      <c r="C233" s="3" t="s">
        <v>55</v>
      </c>
      <c r="D233" s="3" t="s">
        <v>38</v>
      </c>
      <c r="E233" s="2" t="s">
        <v>39</v>
      </c>
      <c r="F233" s="3">
        <v>88561.0</v>
      </c>
      <c r="G233" s="2" t="s">
        <v>853</v>
      </c>
      <c r="H233" s="5">
        <v>46062.5859837963</v>
      </c>
      <c r="I233" s="2" t="s">
        <v>57</v>
      </c>
      <c r="J233" s="2" t="s">
        <v>854</v>
      </c>
      <c r="K233" s="2" t="s">
        <v>65</v>
      </c>
      <c r="L233" s="2" t="s">
        <v>44</v>
      </c>
      <c r="M233" s="2" t="s">
        <v>60</v>
      </c>
      <c r="N233" s="2" t="s">
        <v>855</v>
      </c>
      <c r="O233" s="2" t="s">
        <v>856</v>
      </c>
      <c r="P233" s="4">
        <v>46145.0</v>
      </c>
      <c r="Q233" s="3" t="s">
        <v>236</v>
      </c>
      <c r="R233" s="3">
        <v>1785.0</v>
      </c>
      <c r="S233" s="2" t="s">
        <v>280</v>
      </c>
      <c r="T233" s="2" t="s">
        <v>65</v>
      </c>
      <c r="U233" s="2" t="s">
        <v>104</v>
      </c>
      <c r="V233" s="2" t="s">
        <v>67</v>
      </c>
      <c r="W233" s="2" t="s">
        <v>68</v>
      </c>
      <c r="X233" s="2" t="s">
        <v>69</v>
      </c>
      <c r="Y233" s="2" t="s">
        <v>53</v>
      </c>
      <c r="Z233" s="3">
        <v>8.0</v>
      </c>
      <c r="AA233" s="2" t="s">
        <v>105</v>
      </c>
      <c r="AB233" s="3">
        <v>37.0</v>
      </c>
      <c r="AC233" s="3">
        <v>37.0</v>
      </c>
      <c r="AD233" s="7">
        <v>0.8649</v>
      </c>
      <c r="AE233" s="3">
        <v>160.0</v>
      </c>
      <c r="AF233" s="3">
        <v>5.0</v>
      </c>
      <c r="AG233" s="3">
        <v>0.0</v>
      </c>
      <c r="AH233" s="3">
        <v>4.0</v>
      </c>
      <c r="AI233" s="3">
        <v>1.0</v>
      </c>
      <c r="AJ233" s="3">
        <v>0.0</v>
      </c>
      <c r="AK233" s="3">
        <v>5.0</v>
      </c>
    </row>
    <row r="234">
      <c r="A234" s="2" t="s">
        <v>37</v>
      </c>
      <c r="B234" s="3">
        <v>37029.0</v>
      </c>
      <c r="C234" s="3" t="s">
        <v>337</v>
      </c>
      <c r="D234" s="3" t="s">
        <v>38</v>
      </c>
      <c r="E234" s="2" t="s">
        <v>39</v>
      </c>
      <c r="F234" s="3">
        <v>68267.0</v>
      </c>
      <c r="G234" s="2" t="s">
        <v>857</v>
      </c>
      <c r="H234" s="5">
        <v>45177.4128587963</v>
      </c>
      <c r="I234" s="2" t="s">
        <v>57</v>
      </c>
      <c r="J234" s="2" t="s">
        <v>504</v>
      </c>
      <c r="K234" s="2" t="s">
        <v>128</v>
      </c>
      <c r="L234" s="2" t="s">
        <v>44</v>
      </c>
      <c r="M234" s="2" t="s">
        <v>183</v>
      </c>
      <c r="N234" s="2" t="s">
        <v>858</v>
      </c>
      <c r="O234" s="2" t="s">
        <v>859</v>
      </c>
      <c r="P234" s="4">
        <v>46115.0</v>
      </c>
      <c r="Q234" s="3" t="s">
        <v>194</v>
      </c>
      <c r="R234" s="3">
        <v>1697.0</v>
      </c>
      <c r="S234" s="2" t="s">
        <v>338</v>
      </c>
      <c r="T234" s="2" t="s">
        <v>48</v>
      </c>
      <c r="U234" s="2" t="s">
        <v>49</v>
      </c>
      <c r="V234" s="2" t="s">
        <v>50</v>
      </c>
      <c r="W234" s="2" t="s">
        <v>51</v>
      </c>
      <c r="X234" s="2" t="s">
        <v>52</v>
      </c>
      <c r="Y234" s="2" t="s">
        <v>53</v>
      </c>
      <c r="Z234" s="3">
        <v>6.0</v>
      </c>
      <c r="AA234" s="2" t="s">
        <v>54</v>
      </c>
      <c r="AB234" s="3">
        <v>17.0</v>
      </c>
      <c r="AC234" s="3">
        <v>17.0</v>
      </c>
      <c r="AD234" s="7">
        <v>0.8971</v>
      </c>
      <c r="AE234" s="3">
        <v>61.0</v>
      </c>
      <c r="AF234" s="3">
        <v>4.0</v>
      </c>
      <c r="AG234" s="3">
        <v>0.0</v>
      </c>
      <c r="AH234" s="3">
        <v>4.0</v>
      </c>
      <c r="AI234" s="3">
        <v>0.0</v>
      </c>
      <c r="AJ234" s="3">
        <v>0.0</v>
      </c>
      <c r="AK234" s="3">
        <v>4.0</v>
      </c>
    </row>
    <row r="235">
      <c r="A235" s="2" t="s">
        <v>37</v>
      </c>
      <c r="B235" s="3">
        <v>39014.0</v>
      </c>
      <c r="C235" s="3" t="s">
        <v>142</v>
      </c>
      <c r="D235" s="5">
        <v>46112.99998842592</v>
      </c>
      <c r="E235" s="2" t="s">
        <v>39</v>
      </c>
      <c r="F235" s="3">
        <v>50837.0</v>
      </c>
      <c r="G235" s="2" t="s">
        <v>860</v>
      </c>
      <c r="H235" s="5">
        <v>44376.14959490741</v>
      </c>
      <c r="I235" s="2" t="s">
        <v>57</v>
      </c>
      <c r="J235" s="2" t="s">
        <v>411</v>
      </c>
      <c r="K235" s="2" t="s">
        <v>411</v>
      </c>
      <c r="L235" s="2" t="s">
        <v>412</v>
      </c>
      <c r="M235" s="2" t="s">
        <v>89</v>
      </c>
      <c r="N235" s="2" t="s">
        <v>242</v>
      </c>
      <c r="O235" s="2" t="s">
        <v>861</v>
      </c>
      <c r="P235" s="4">
        <v>46298.0</v>
      </c>
      <c r="Q235" s="3" t="s">
        <v>92</v>
      </c>
      <c r="R235" s="3">
        <v>1995.0</v>
      </c>
      <c r="S235" s="2" t="s">
        <v>372</v>
      </c>
      <c r="T235" s="2" t="s">
        <v>88</v>
      </c>
      <c r="U235" s="2" t="s">
        <v>149</v>
      </c>
      <c r="V235" s="2" t="s">
        <v>150</v>
      </c>
      <c r="W235" s="2" t="s">
        <v>51</v>
      </c>
      <c r="X235" s="2" t="s">
        <v>96</v>
      </c>
      <c r="Y235" s="2" t="s">
        <v>53</v>
      </c>
      <c r="Z235" s="3">
        <v>7.0</v>
      </c>
      <c r="AA235" s="2" t="s">
        <v>54</v>
      </c>
      <c r="AB235" s="3">
        <v>75.0</v>
      </c>
      <c r="AC235" s="3">
        <v>60.0</v>
      </c>
      <c r="AD235" s="7">
        <v>0.8433</v>
      </c>
      <c r="AE235" s="3">
        <v>253.0</v>
      </c>
      <c r="AF235" s="3">
        <v>5.0</v>
      </c>
      <c r="AG235" s="3">
        <v>0.0</v>
      </c>
      <c r="AH235" s="3">
        <v>1.0</v>
      </c>
      <c r="AI235" s="3">
        <v>4.0</v>
      </c>
      <c r="AJ235" s="3">
        <v>0.0</v>
      </c>
      <c r="AK235" s="3">
        <v>5.0</v>
      </c>
    </row>
    <row r="236">
      <c r="A236" s="2" t="s">
        <v>37</v>
      </c>
      <c r="B236" s="3">
        <v>39168.0</v>
      </c>
      <c r="C236" s="4">
        <v>45666.0</v>
      </c>
      <c r="D236" s="3" t="s">
        <v>38</v>
      </c>
      <c r="E236" s="2" t="s">
        <v>72</v>
      </c>
      <c r="F236" s="3">
        <v>77406.0</v>
      </c>
      <c r="G236" s="2" t="s">
        <v>862</v>
      </c>
      <c r="H236" s="5">
        <v>45581.931238425925</v>
      </c>
      <c r="I236" s="2" t="s">
        <v>57</v>
      </c>
      <c r="J236" s="2" t="s">
        <v>42</v>
      </c>
      <c r="K236" s="2" t="s">
        <v>43</v>
      </c>
      <c r="L236" s="2" t="s">
        <v>44</v>
      </c>
      <c r="M236" s="2" t="s">
        <v>89</v>
      </c>
      <c r="N236" s="2" t="s">
        <v>400</v>
      </c>
      <c r="O236" s="2" t="s">
        <v>863</v>
      </c>
      <c r="P236" s="4">
        <v>46084.0</v>
      </c>
      <c r="Q236" s="3" t="s">
        <v>236</v>
      </c>
      <c r="R236" s="3">
        <v>2025.0</v>
      </c>
      <c r="S236" s="2" t="s">
        <v>432</v>
      </c>
      <c r="T236" s="2" t="s">
        <v>43</v>
      </c>
      <c r="U236" s="2" t="s">
        <v>433</v>
      </c>
      <c r="V236" s="2" t="s">
        <v>434</v>
      </c>
      <c r="W236" s="2" t="s">
        <v>51</v>
      </c>
      <c r="X236" s="2" t="s">
        <v>172</v>
      </c>
      <c r="Y236" s="2" t="s">
        <v>53</v>
      </c>
      <c r="Z236" s="3">
        <v>7.0</v>
      </c>
      <c r="AA236" s="2" t="s">
        <v>54</v>
      </c>
      <c r="AB236" s="3">
        <v>29.0</v>
      </c>
      <c r="AC236" s="3">
        <v>29.0</v>
      </c>
      <c r="AD236" s="7">
        <v>0.8621</v>
      </c>
      <c r="AE236" s="3">
        <v>50.0</v>
      </c>
      <c r="AF236" s="3">
        <v>2.0</v>
      </c>
      <c r="AG236" s="3">
        <v>0.0</v>
      </c>
      <c r="AH236" s="3">
        <v>2.0</v>
      </c>
      <c r="AI236" s="3">
        <v>0.0</v>
      </c>
      <c r="AJ236" s="3">
        <v>0.0</v>
      </c>
      <c r="AK236" s="3">
        <v>2.0</v>
      </c>
    </row>
    <row r="237">
      <c r="A237" s="2" t="s">
        <v>37</v>
      </c>
      <c r="B237" s="3">
        <v>39587.0</v>
      </c>
      <c r="C237" s="4">
        <v>45667.0</v>
      </c>
      <c r="D237" s="5">
        <v>46112.99998842592</v>
      </c>
      <c r="E237" s="2" t="s">
        <v>39</v>
      </c>
      <c r="F237" s="3">
        <v>57477.0</v>
      </c>
      <c r="G237" s="2" t="s">
        <v>864</v>
      </c>
      <c r="H237" s="5">
        <v>44693.545578703706</v>
      </c>
      <c r="I237" s="2" t="s">
        <v>57</v>
      </c>
      <c r="J237" s="2" t="s">
        <v>411</v>
      </c>
      <c r="K237" s="2" t="s">
        <v>411</v>
      </c>
      <c r="L237" s="2" t="s">
        <v>412</v>
      </c>
      <c r="M237" s="2" t="s">
        <v>364</v>
      </c>
      <c r="N237" s="2" t="s">
        <v>865</v>
      </c>
      <c r="O237" s="2" t="s">
        <v>866</v>
      </c>
      <c r="P237" s="4">
        <v>46298.0</v>
      </c>
      <c r="Q237" s="3" t="s">
        <v>92</v>
      </c>
      <c r="R237" s="3">
        <v>2000.0</v>
      </c>
      <c r="S237" s="2" t="s">
        <v>321</v>
      </c>
      <c r="T237" s="2" t="s">
        <v>88</v>
      </c>
      <c r="U237" s="2" t="s">
        <v>149</v>
      </c>
      <c r="V237" s="2" t="s">
        <v>150</v>
      </c>
      <c r="W237" s="2" t="s">
        <v>51</v>
      </c>
      <c r="X237" s="2" t="s">
        <v>96</v>
      </c>
      <c r="Y237" s="2" t="s">
        <v>53</v>
      </c>
      <c r="Z237" s="3">
        <v>7.0</v>
      </c>
      <c r="AA237" s="2" t="s">
        <v>54</v>
      </c>
      <c r="AB237" s="3">
        <v>37.0</v>
      </c>
      <c r="AC237" s="3">
        <v>37.0</v>
      </c>
      <c r="AD237" s="7">
        <v>0.7135</v>
      </c>
      <c r="AE237" s="3">
        <v>132.0</v>
      </c>
      <c r="AF237" s="3">
        <v>5.0</v>
      </c>
      <c r="AG237" s="3">
        <v>0.0</v>
      </c>
      <c r="AH237" s="3">
        <v>4.0</v>
      </c>
      <c r="AI237" s="3">
        <v>1.0</v>
      </c>
      <c r="AJ237" s="3">
        <v>0.0</v>
      </c>
      <c r="AK237" s="3">
        <v>5.0</v>
      </c>
    </row>
    <row r="238">
      <c r="A238" s="2" t="s">
        <v>37</v>
      </c>
      <c r="B238" s="3">
        <v>38987.0</v>
      </c>
      <c r="C238" s="3" t="s">
        <v>142</v>
      </c>
      <c r="D238" s="5">
        <v>46112.99998842592</v>
      </c>
      <c r="E238" s="2" t="s">
        <v>39</v>
      </c>
      <c r="F238" s="3">
        <v>84639.0</v>
      </c>
      <c r="G238" s="2" t="s">
        <v>867</v>
      </c>
      <c r="H238" s="5">
        <v>45875.56613425926</v>
      </c>
      <c r="I238" s="2" t="s">
        <v>57</v>
      </c>
      <c r="J238" s="2" t="s">
        <v>351</v>
      </c>
      <c r="K238" s="2" t="s">
        <v>88</v>
      </c>
      <c r="L238" s="2" t="s">
        <v>44</v>
      </c>
      <c r="M238" s="2" t="s">
        <v>89</v>
      </c>
      <c r="N238" s="2" t="s">
        <v>868</v>
      </c>
      <c r="O238" s="2" t="s">
        <v>869</v>
      </c>
      <c r="P238" s="4">
        <v>46268.0</v>
      </c>
      <c r="Q238" s="3" t="s">
        <v>147</v>
      </c>
      <c r="R238" s="3">
        <v>1994.0</v>
      </c>
      <c r="S238" s="2" t="s">
        <v>354</v>
      </c>
      <c r="T238" s="2" t="s">
        <v>88</v>
      </c>
      <c r="U238" s="2" t="s">
        <v>149</v>
      </c>
      <c r="V238" s="2" t="s">
        <v>150</v>
      </c>
      <c r="W238" s="2" t="s">
        <v>51</v>
      </c>
      <c r="X238" s="2" t="s">
        <v>96</v>
      </c>
      <c r="Y238" s="2" t="s">
        <v>53</v>
      </c>
      <c r="Z238" s="3">
        <v>7.0</v>
      </c>
      <c r="AA238" s="2" t="s">
        <v>54</v>
      </c>
      <c r="AB238" s="3">
        <v>26.0</v>
      </c>
      <c r="AC238" s="3">
        <v>26.0</v>
      </c>
      <c r="AD238" s="7">
        <v>0.9808</v>
      </c>
      <c r="AE238" s="3">
        <v>153.0</v>
      </c>
      <c r="AF238" s="3">
        <v>6.0</v>
      </c>
      <c r="AG238" s="3">
        <v>0.0</v>
      </c>
      <c r="AH238" s="3">
        <v>4.0</v>
      </c>
      <c r="AI238" s="3">
        <v>2.0</v>
      </c>
      <c r="AJ238" s="3">
        <v>0.0</v>
      </c>
      <c r="AK238" s="3">
        <v>6.0</v>
      </c>
    </row>
    <row r="239">
      <c r="A239" s="2" t="s">
        <v>37</v>
      </c>
      <c r="B239" s="3">
        <v>40213.0</v>
      </c>
      <c r="C239" s="3" t="s">
        <v>55</v>
      </c>
      <c r="D239" s="3" t="s">
        <v>38</v>
      </c>
      <c r="E239" s="2" t="s">
        <v>39</v>
      </c>
      <c r="F239" s="3">
        <v>88642.0</v>
      </c>
      <c r="G239" s="2" t="s">
        <v>870</v>
      </c>
      <c r="H239" s="5">
        <v>46067.630949074075</v>
      </c>
      <c r="I239" s="2" t="s">
        <v>98</v>
      </c>
      <c r="J239" s="2" t="s">
        <v>42</v>
      </c>
      <c r="K239" s="2" t="s">
        <v>43</v>
      </c>
      <c r="L239" s="2" t="s">
        <v>44</v>
      </c>
      <c r="M239" s="2" t="s">
        <v>60</v>
      </c>
      <c r="N239" s="2" t="s">
        <v>100</v>
      </c>
      <c r="O239" s="2" t="s">
        <v>871</v>
      </c>
      <c r="P239" s="4">
        <v>46268.0</v>
      </c>
      <c r="Q239" s="3" t="s">
        <v>102</v>
      </c>
      <c r="R239" s="3">
        <v>1785.0</v>
      </c>
      <c r="S239" s="2" t="s">
        <v>280</v>
      </c>
      <c r="T239" s="2" t="s">
        <v>65</v>
      </c>
      <c r="U239" s="2" t="s">
        <v>104</v>
      </c>
      <c r="V239" s="2" t="s">
        <v>67</v>
      </c>
      <c r="W239" s="2" t="s">
        <v>68</v>
      </c>
      <c r="X239" s="2" t="s">
        <v>69</v>
      </c>
      <c r="Y239" s="2" t="s">
        <v>53</v>
      </c>
      <c r="Z239" s="3">
        <v>6.0</v>
      </c>
      <c r="AA239" s="2" t="s">
        <v>105</v>
      </c>
      <c r="AB239" s="3">
        <v>24.0</v>
      </c>
      <c r="AC239" s="3">
        <v>24.0</v>
      </c>
      <c r="AD239" s="7">
        <v>0.7083</v>
      </c>
      <c r="AE239" s="3">
        <v>85.0</v>
      </c>
      <c r="AF239" s="3">
        <v>5.0</v>
      </c>
      <c r="AG239" s="3">
        <v>0.0</v>
      </c>
      <c r="AH239" s="3">
        <v>5.0</v>
      </c>
      <c r="AI239" s="3">
        <v>0.0</v>
      </c>
      <c r="AJ239" s="3">
        <v>0.0</v>
      </c>
      <c r="AK239" s="3">
        <v>5.0</v>
      </c>
    </row>
    <row r="240">
      <c r="A240" s="2" t="s">
        <v>37</v>
      </c>
      <c r="B240" s="3">
        <v>37091.0</v>
      </c>
      <c r="C240" s="4">
        <v>45784.0</v>
      </c>
      <c r="D240" s="3" t="s">
        <v>38</v>
      </c>
      <c r="E240" s="2" t="s">
        <v>39</v>
      </c>
      <c r="F240" s="3">
        <v>82492.0</v>
      </c>
      <c r="G240" s="2" t="s">
        <v>872</v>
      </c>
      <c r="H240" s="5">
        <v>45836.970972222225</v>
      </c>
      <c r="I240" s="2" t="s">
        <v>57</v>
      </c>
      <c r="J240" s="2" t="s">
        <v>873</v>
      </c>
      <c r="K240" s="2" t="s">
        <v>48</v>
      </c>
      <c r="L240" s="2" t="s">
        <v>44</v>
      </c>
      <c r="M240" s="2" t="s">
        <v>183</v>
      </c>
      <c r="N240" s="2" t="s">
        <v>874</v>
      </c>
      <c r="O240" s="2" t="s">
        <v>875</v>
      </c>
      <c r="P240" s="4">
        <v>46115.0</v>
      </c>
      <c r="Q240" s="4">
        <v>46329.0</v>
      </c>
      <c r="R240" s="3">
        <v>1859.0</v>
      </c>
      <c r="S240" s="2" t="s">
        <v>340</v>
      </c>
      <c r="T240" s="2" t="s">
        <v>48</v>
      </c>
      <c r="U240" s="2" t="s">
        <v>341</v>
      </c>
      <c r="V240" s="2" t="s">
        <v>50</v>
      </c>
      <c r="W240" s="2" t="s">
        <v>51</v>
      </c>
      <c r="X240" s="2" t="s">
        <v>52</v>
      </c>
      <c r="Y240" s="2" t="s">
        <v>53</v>
      </c>
      <c r="Z240" s="3">
        <v>6.0</v>
      </c>
      <c r="AA240" s="2" t="s">
        <v>164</v>
      </c>
      <c r="AB240" s="3">
        <v>56.0</v>
      </c>
      <c r="AC240" s="3">
        <v>56.0</v>
      </c>
      <c r="AD240" s="7">
        <v>0.9107</v>
      </c>
      <c r="AE240" s="3">
        <v>153.0</v>
      </c>
      <c r="AF240" s="3">
        <v>3.0</v>
      </c>
      <c r="AG240" s="3">
        <v>0.0</v>
      </c>
      <c r="AH240" s="3">
        <v>3.0</v>
      </c>
      <c r="AI240" s="3">
        <v>0.0</v>
      </c>
      <c r="AJ240" s="3">
        <v>0.0</v>
      </c>
      <c r="AK240" s="3">
        <v>3.0</v>
      </c>
    </row>
    <row r="241">
      <c r="A241" s="2" t="s">
        <v>37</v>
      </c>
      <c r="B241" s="3">
        <v>37039.0</v>
      </c>
      <c r="C241" s="3" t="s">
        <v>337</v>
      </c>
      <c r="D241" s="3" t="s">
        <v>38</v>
      </c>
      <c r="E241" s="2" t="s">
        <v>39</v>
      </c>
      <c r="F241" s="3">
        <v>60791.0</v>
      </c>
      <c r="G241" s="2" t="s">
        <v>876</v>
      </c>
      <c r="H241" s="5">
        <v>44865.94913194444</v>
      </c>
      <c r="I241" s="2" t="s">
        <v>57</v>
      </c>
      <c r="J241" s="2" t="s">
        <v>877</v>
      </c>
      <c r="K241" s="2" t="s">
        <v>48</v>
      </c>
      <c r="L241" s="2" t="s">
        <v>44</v>
      </c>
      <c r="M241" s="2" t="s">
        <v>111</v>
      </c>
      <c r="N241" s="2" t="s">
        <v>167</v>
      </c>
      <c r="O241" s="2" t="s">
        <v>878</v>
      </c>
      <c r="P241" s="4">
        <v>46145.0</v>
      </c>
      <c r="Q241" s="3" t="s">
        <v>194</v>
      </c>
      <c r="R241" s="3">
        <v>1693.0</v>
      </c>
      <c r="S241" s="2" t="s">
        <v>342</v>
      </c>
      <c r="T241" s="2" t="s">
        <v>48</v>
      </c>
      <c r="U241" s="2" t="s">
        <v>49</v>
      </c>
      <c r="V241" s="2" t="s">
        <v>50</v>
      </c>
      <c r="W241" s="2" t="s">
        <v>51</v>
      </c>
      <c r="X241" s="2" t="s">
        <v>52</v>
      </c>
      <c r="Y241" s="2" t="s">
        <v>53</v>
      </c>
      <c r="Z241" s="3">
        <v>6.0</v>
      </c>
      <c r="AA241" s="2" t="s">
        <v>318</v>
      </c>
      <c r="AB241" s="3">
        <v>30.0</v>
      </c>
      <c r="AC241" s="3">
        <v>30.0</v>
      </c>
      <c r="AD241" s="7">
        <v>0.6333</v>
      </c>
      <c r="AE241" s="3">
        <v>76.0</v>
      </c>
      <c r="AF241" s="3">
        <v>4.0</v>
      </c>
      <c r="AG241" s="3">
        <v>0.0</v>
      </c>
      <c r="AH241" s="3">
        <v>4.0</v>
      </c>
      <c r="AI241" s="3">
        <v>0.0</v>
      </c>
      <c r="AJ241" s="3">
        <v>0.0</v>
      </c>
      <c r="AK241" s="3">
        <v>4.0</v>
      </c>
    </row>
    <row r="242">
      <c r="A242" s="2" t="s">
        <v>37</v>
      </c>
      <c r="B242" s="3">
        <v>38998.0</v>
      </c>
      <c r="C242" s="3" t="s">
        <v>142</v>
      </c>
      <c r="D242" s="5">
        <v>46112.99998842592</v>
      </c>
      <c r="E242" s="2" t="s">
        <v>39</v>
      </c>
      <c r="F242" s="3">
        <v>59107.0</v>
      </c>
      <c r="G242" s="2" t="s">
        <v>879</v>
      </c>
      <c r="H242" s="5">
        <v>44770.04686342592</v>
      </c>
      <c r="I242" s="2" t="s">
        <v>57</v>
      </c>
      <c r="J242" s="2" t="s">
        <v>880</v>
      </c>
      <c r="K242" s="2" t="s">
        <v>880</v>
      </c>
      <c r="L242" s="2" t="s">
        <v>881</v>
      </c>
      <c r="M242" s="2" t="s">
        <v>89</v>
      </c>
      <c r="N242" s="2" t="s">
        <v>882</v>
      </c>
      <c r="O242" s="2" t="s">
        <v>883</v>
      </c>
      <c r="P242" s="4">
        <v>46298.0</v>
      </c>
      <c r="Q242" s="3" t="s">
        <v>92</v>
      </c>
      <c r="R242" s="3">
        <v>2003.0</v>
      </c>
      <c r="S242" s="2" t="s">
        <v>217</v>
      </c>
      <c r="T242" s="2" t="s">
        <v>88</v>
      </c>
      <c r="U242" s="2" t="s">
        <v>149</v>
      </c>
      <c r="V242" s="2" t="s">
        <v>150</v>
      </c>
      <c r="W242" s="2" t="s">
        <v>51</v>
      </c>
      <c r="X242" s="2" t="s">
        <v>96</v>
      </c>
      <c r="Y242" s="2" t="s">
        <v>53</v>
      </c>
      <c r="Z242" s="3">
        <v>7.0</v>
      </c>
      <c r="AA242" s="2" t="s">
        <v>54</v>
      </c>
      <c r="AB242" s="3">
        <v>88.0</v>
      </c>
      <c r="AC242" s="3">
        <v>88.0</v>
      </c>
      <c r="AD242" s="7">
        <v>0.125</v>
      </c>
      <c r="AE242" s="3">
        <v>44.0</v>
      </c>
      <c r="AF242" s="3">
        <v>5.0</v>
      </c>
      <c r="AG242" s="3">
        <v>0.0</v>
      </c>
      <c r="AH242" s="3">
        <v>0.0</v>
      </c>
      <c r="AI242" s="3">
        <v>4.0</v>
      </c>
      <c r="AJ242" s="3">
        <v>1.0</v>
      </c>
      <c r="AK242" s="3">
        <v>4.0</v>
      </c>
    </row>
    <row r="243">
      <c r="A243" s="2" t="s">
        <v>37</v>
      </c>
      <c r="B243" s="3">
        <v>36986.0</v>
      </c>
      <c r="C243" s="4">
        <v>45662.0</v>
      </c>
      <c r="D243" s="3" t="s">
        <v>38</v>
      </c>
      <c r="E243" s="2" t="s">
        <v>39</v>
      </c>
      <c r="F243" s="3">
        <v>76215.0</v>
      </c>
      <c r="G243" s="2" t="s">
        <v>884</v>
      </c>
      <c r="H243" s="5">
        <v>45532.984131944446</v>
      </c>
      <c r="I243" s="2" t="s">
        <v>790</v>
      </c>
      <c r="J243" s="2" t="s">
        <v>42</v>
      </c>
      <c r="K243" s="2" t="s">
        <v>43</v>
      </c>
      <c r="L243" s="2" t="s">
        <v>44</v>
      </c>
      <c r="M243" s="2" t="s">
        <v>89</v>
      </c>
      <c r="N243" s="2" t="s">
        <v>885</v>
      </c>
      <c r="O243" s="2" t="s">
        <v>886</v>
      </c>
      <c r="P243" s="4">
        <v>46298.0</v>
      </c>
      <c r="Q243" s="4">
        <v>46329.0</v>
      </c>
      <c r="R243" s="3">
        <v>1720.0</v>
      </c>
      <c r="S243" s="2" t="s">
        <v>230</v>
      </c>
      <c r="T243" s="2" t="s">
        <v>65</v>
      </c>
      <c r="U243" s="2" t="s">
        <v>104</v>
      </c>
      <c r="V243" s="2" t="s">
        <v>150</v>
      </c>
      <c r="W243" s="2" t="s">
        <v>51</v>
      </c>
      <c r="X243" s="2" t="s">
        <v>69</v>
      </c>
      <c r="Y243" s="2" t="s">
        <v>53</v>
      </c>
      <c r="Z243" s="3">
        <v>7.0</v>
      </c>
      <c r="AA243" s="2" t="s">
        <v>54</v>
      </c>
      <c r="AB243" s="3">
        <v>30.0</v>
      </c>
      <c r="AC243" s="3">
        <v>30.0</v>
      </c>
      <c r="AD243" s="7">
        <v>0.2833</v>
      </c>
      <c r="AE243" s="3">
        <v>17.0</v>
      </c>
      <c r="AF243" s="3">
        <v>2.0</v>
      </c>
      <c r="AG243" s="3">
        <v>0.0</v>
      </c>
      <c r="AH243" s="3">
        <v>0.0</v>
      </c>
      <c r="AI243" s="3">
        <v>2.0</v>
      </c>
      <c r="AJ243" s="3">
        <v>0.0</v>
      </c>
      <c r="AK243" s="3">
        <v>2.0</v>
      </c>
    </row>
    <row r="244">
      <c r="A244" s="2" t="s">
        <v>37</v>
      </c>
      <c r="B244" s="3">
        <v>40211.0</v>
      </c>
      <c r="C244" s="3" t="s">
        <v>55</v>
      </c>
      <c r="D244" s="3" t="s">
        <v>38</v>
      </c>
      <c r="E244" s="2" t="s">
        <v>39</v>
      </c>
      <c r="F244" s="3">
        <v>77174.0</v>
      </c>
      <c r="G244" s="2" t="s">
        <v>887</v>
      </c>
      <c r="H244" s="5">
        <v>45569.53712962963</v>
      </c>
      <c r="I244" s="2" t="s">
        <v>57</v>
      </c>
      <c r="J244" s="2" t="s">
        <v>261</v>
      </c>
      <c r="K244" s="2" t="s">
        <v>110</v>
      </c>
      <c r="L244" s="2" t="s">
        <v>44</v>
      </c>
      <c r="M244" s="2" t="s">
        <v>99</v>
      </c>
      <c r="N244" s="2" t="s">
        <v>888</v>
      </c>
      <c r="O244" s="2" t="s">
        <v>889</v>
      </c>
      <c r="P244" s="4">
        <v>46268.0</v>
      </c>
      <c r="Q244" s="3" t="s">
        <v>102</v>
      </c>
      <c r="R244" s="3">
        <v>1790.0</v>
      </c>
      <c r="S244" s="2" t="s">
        <v>289</v>
      </c>
      <c r="T244" s="2" t="s">
        <v>65</v>
      </c>
      <c r="U244" s="2" t="s">
        <v>66</v>
      </c>
      <c r="V244" s="2" t="s">
        <v>67</v>
      </c>
      <c r="W244" s="2" t="s">
        <v>68</v>
      </c>
      <c r="X244" s="2" t="s">
        <v>69</v>
      </c>
      <c r="Y244" s="2" t="s">
        <v>53</v>
      </c>
      <c r="Z244" s="3">
        <v>6.0</v>
      </c>
      <c r="AA244" s="2" t="s">
        <v>105</v>
      </c>
      <c r="AB244" s="3">
        <v>19.0</v>
      </c>
      <c r="AC244" s="3">
        <v>19.0</v>
      </c>
      <c r="AD244" s="7">
        <v>0.7684</v>
      </c>
      <c r="AE244" s="3">
        <v>73.0</v>
      </c>
      <c r="AF244" s="3">
        <v>5.0</v>
      </c>
      <c r="AG244" s="3">
        <v>0.0</v>
      </c>
      <c r="AH244" s="3">
        <v>5.0</v>
      </c>
      <c r="AI244" s="3">
        <v>0.0</v>
      </c>
      <c r="AJ244" s="3">
        <v>0.0</v>
      </c>
      <c r="AK244" s="3">
        <v>5.0</v>
      </c>
    </row>
    <row r="245">
      <c r="A245" s="2" t="s">
        <v>37</v>
      </c>
      <c r="B245" s="3">
        <v>38825.0</v>
      </c>
      <c r="C245" s="3" t="s">
        <v>106</v>
      </c>
      <c r="D245" s="3" t="s">
        <v>38</v>
      </c>
      <c r="E245" s="2" t="s">
        <v>39</v>
      </c>
      <c r="F245" s="3">
        <v>74105.0</v>
      </c>
      <c r="G245" s="2" t="s">
        <v>890</v>
      </c>
      <c r="H245" s="5">
        <v>45483.79399305556</v>
      </c>
      <c r="I245" s="2" t="s">
        <v>891</v>
      </c>
      <c r="J245" s="2" t="s">
        <v>261</v>
      </c>
      <c r="K245" s="2" t="s">
        <v>110</v>
      </c>
      <c r="L245" s="2" t="s">
        <v>44</v>
      </c>
      <c r="M245" s="2" t="s">
        <v>111</v>
      </c>
      <c r="N245" s="2" t="s">
        <v>892</v>
      </c>
      <c r="O245" s="2" t="s">
        <v>893</v>
      </c>
      <c r="P245" s="4">
        <v>46056.0</v>
      </c>
      <c r="Q245" s="4">
        <v>46359.0</v>
      </c>
      <c r="R245" s="3">
        <v>1333.0</v>
      </c>
      <c r="S245" s="2" t="s">
        <v>894</v>
      </c>
      <c r="T245" s="2" t="s">
        <v>110</v>
      </c>
      <c r="U245" s="2" t="s">
        <v>115</v>
      </c>
      <c r="V245" s="2" t="s">
        <v>116</v>
      </c>
      <c r="W245" s="2" t="s">
        <v>51</v>
      </c>
      <c r="X245" s="2" t="s">
        <v>117</v>
      </c>
      <c r="Y245" s="2" t="s">
        <v>53</v>
      </c>
      <c r="Z245" s="3">
        <v>7.0</v>
      </c>
      <c r="AA245" s="2" t="s">
        <v>54</v>
      </c>
      <c r="AB245" s="3">
        <v>51.0</v>
      </c>
      <c r="AC245" s="3">
        <v>51.0</v>
      </c>
      <c r="AD245" s="7">
        <v>1.0</v>
      </c>
      <c r="AE245" s="3">
        <v>204.0</v>
      </c>
      <c r="AF245" s="3">
        <v>4.0</v>
      </c>
      <c r="AG245" s="3">
        <v>0.0</v>
      </c>
      <c r="AH245" s="3">
        <v>4.0</v>
      </c>
      <c r="AI245" s="3">
        <v>0.0</v>
      </c>
      <c r="AJ245" s="3">
        <v>0.0</v>
      </c>
      <c r="AK245" s="3">
        <v>4.0</v>
      </c>
    </row>
    <row r="246">
      <c r="A246" s="2" t="s">
        <v>37</v>
      </c>
      <c r="B246" s="3">
        <v>36794.0</v>
      </c>
      <c r="C246" s="3" t="s">
        <v>71</v>
      </c>
      <c r="D246" s="3" t="s">
        <v>38</v>
      </c>
      <c r="E246" s="2" t="s">
        <v>72</v>
      </c>
      <c r="F246" s="3">
        <v>86041.0</v>
      </c>
      <c r="G246" s="2" t="s">
        <v>895</v>
      </c>
      <c r="H246" s="5">
        <v>45921.90157407407</v>
      </c>
      <c r="J246" s="2" t="s">
        <v>127</v>
      </c>
      <c r="K246" s="2" t="s">
        <v>128</v>
      </c>
      <c r="L246" s="2" t="s">
        <v>44</v>
      </c>
      <c r="M246" s="2" t="s">
        <v>111</v>
      </c>
      <c r="N246" s="2" t="s">
        <v>157</v>
      </c>
      <c r="O246" s="2" t="s">
        <v>896</v>
      </c>
      <c r="P246" s="4">
        <v>46084.0</v>
      </c>
      <c r="Q246" s="4">
        <v>46145.0</v>
      </c>
      <c r="R246" s="3">
        <v>1761.0</v>
      </c>
      <c r="S246" s="2" t="s">
        <v>80</v>
      </c>
      <c r="T246" s="2" t="s">
        <v>81</v>
      </c>
      <c r="U246" s="2" t="s">
        <v>82</v>
      </c>
      <c r="V246" s="2" t="s">
        <v>83</v>
      </c>
      <c r="W246" s="2" t="s">
        <v>68</v>
      </c>
      <c r="X246" s="2" t="s">
        <v>69</v>
      </c>
      <c r="Y246" s="2" t="s">
        <v>53</v>
      </c>
      <c r="Z246" s="3">
        <v>8.0</v>
      </c>
      <c r="AA246" s="2" t="s">
        <v>141</v>
      </c>
      <c r="AB246" s="3">
        <v>23.0</v>
      </c>
      <c r="AC246" s="3">
        <v>23.0</v>
      </c>
      <c r="AD246" s="7">
        <v>0.913</v>
      </c>
      <c r="AE246" s="3">
        <v>42.0</v>
      </c>
      <c r="AF246" s="3">
        <v>2.0</v>
      </c>
      <c r="AG246" s="3">
        <v>0.0</v>
      </c>
      <c r="AH246" s="3">
        <v>0.0</v>
      </c>
      <c r="AI246" s="3">
        <v>2.0</v>
      </c>
      <c r="AJ246" s="3">
        <v>0.0</v>
      </c>
      <c r="AK246" s="3">
        <v>2.0</v>
      </c>
    </row>
    <row r="247">
      <c r="A247" s="2" t="s">
        <v>37</v>
      </c>
      <c r="B247" s="3">
        <v>38932.0</v>
      </c>
      <c r="C247" s="4">
        <v>45666.0</v>
      </c>
      <c r="D247" s="3" t="s">
        <v>38</v>
      </c>
      <c r="E247" s="2" t="s">
        <v>72</v>
      </c>
      <c r="F247" s="3">
        <v>83617.0</v>
      </c>
      <c r="G247" s="2" t="s">
        <v>897</v>
      </c>
      <c r="H247" s="5">
        <v>45853.6866087963</v>
      </c>
      <c r="I247" s="2" t="s">
        <v>108</v>
      </c>
      <c r="J247" s="2" t="s">
        <v>898</v>
      </c>
      <c r="K247" s="2" t="s">
        <v>65</v>
      </c>
      <c r="L247" s="2" t="s">
        <v>44</v>
      </c>
      <c r="M247" s="2" t="s">
        <v>111</v>
      </c>
      <c r="N247" s="2" t="s">
        <v>899</v>
      </c>
      <c r="O247" s="2" t="s">
        <v>900</v>
      </c>
      <c r="P247" s="4">
        <v>46084.0</v>
      </c>
      <c r="Q247" s="4">
        <v>46145.0</v>
      </c>
      <c r="R247" s="3">
        <v>1770.0</v>
      </c>
      <c r="S247" s="2" t="s">
        <v>397</v>
      </c>
      <c r="T247" s="2" t="s">
        <v>81</v>
      </c>
      <c r="U247" s="2" t="s">
        <v>398</v>
      </c>
      <c r="V247" s="2" t="s">
        <v>83</v>
      </c>
      <c r="W247" s="2" t="s">
        <v>68</v>
      </c>
      <c r="X247" s="2" t="s">
        <v>69</v>
      </c>
      <c r="Y247" s="2" t="s">
        <v>53</v>
      </c>
      <c r="Z247" s="3">
        <v>8.0</v>
      </c>
      <c r="AA247" s="2" t="s">
        <v>125</v>
      </c>
      <c r="AB247" s="3">
        <v>19.0</v>
      </c>
      <c r="AC247" s="3">
        <v>19.0</v>
      </c>
      <c r="AD247" s="7">
        <v>0.8684</v>
      </c>
      <c r="AE247" s="3">
        <v>33.0</v>
      </c>
      <c r="AF247" s="3">
        <v>2.0</v>
      </c>
      <c r="AG247" s="3">
        <v>0.0</v>
      </c>
      <c r="AH247" s="3">
        <v>1.0</v>
      </c>
      <c r="AI247" s="3">
        <v>1.0</v>
      </c>
      <c r="AJ247" s="3">
        <v>0.0</v>
      </c>
      <c r="AK247" s="3">
        <v>2.0</v>
      </c>
    </row>
    <row r="248">
      <c r="A248" s="2" t="s">
        <v>37</v>
      </c>
      <c r="B248" s="3">
        <v>39832.0</v>
      </c>
      <c r="C248" s="4">
        <v>45728.0</v>
      </c>
      <c r="D248" s="3" t="s">
        <v>38</v>
      </c>
      <c r="E248" s="2" t="s">
        <v>72</v>
      </c>
      <c r="F248" s="3">
        <v>87388.0</v>
      </c>
      <c r="G248" s="2" t="s">
        <v>901</v>
      </c>
      <c r="H248" s="5">
        <v>45999.770833333336</v>
      </c>
      <c r="I248" s="2" t="s">
        <v>57</v>
      </c>
      <c r="J248" s="2" t="s">
        <v>902</v>
      </c>
      <c r="K248" s="2" t="s">
        <v>43</v>
      </c>
      <c r="L248" s="2" t="s">
        <v>44</v>
      </c>
      <c r="M248" s="2" t="s">
        <v>89</v>
      </c>
      <c r="N248" s="2" t="s">
        <v>705</v>
      </c>
      <c r="O248" s="2" t="s">
        <v>903</v>
      </c>
      <c r="P248" s="4">
        <v>46115.0</v>
      </c>
      <c r="Q248" s="4">
        <v>46145.0</v>
      </c>
      <c r="R248" s="3">
        <v>2046.0</v>
      </c>
      <c r="S248" s="2" t="s">
        <v>177</v>
      </c>
      <c r="T248" s="2" t="s">
        <v>43</v>
      </c>
      <c r="U248" s="2" t="s">
        <v>178</v>
      </c>
      <c r="V248" s="2" t="s">
        <v>179</v>
      </c>
      <c r="W248" s="2" t="s">
        <v>68</v>
      </c>
      <c r="X248" s="2" t="s">
        <v>172</v>
      </c>
      <c r="Y248" s="2" t="s">
        <v>53</v>
      </c>
      <c r="Z248" s="3">
        <v>6.0</v>
      </c>
      <c r="AA248" s="2" t="s">
        <v>180</v>
      </c>
      <c r="AB248" s="3">
        <v>6.0</v>
      </c>
      <c r="AC248" s="3">
        <v>6.0</v>
      </c>
      <c r="AD248" s="7">
        <v>0.9167</v>
      </c>
      <c r="AE248" s="3">
        <v>11.0</v>
      </c>
      <c r="AF248" s="3">
        <v>2.0</v>
      </c>
      <c r="AG248" s="3">
        <v>0.0</v>
      </c>
      <c r="AH248" s="3">
        <v>2.0</v>
      </c>
      <c r="AI248" s="3">
        <v>0.0</v>
      </c>
      <c r="AJ248" s="3">
        <v>0.0</v>
      </c>
      <c r="AK248" s="3">
        <v>2.0</v>
      </c>
    </row>
    <row r="249">
      <c r="A249" s="2" t="s">
        <v>37</v>
      </c>
      <c r="B249" s="3">
        <v>39103.0</v>
      </c>
      <c r="C249" s="3" t="s">
        <v>303</v>
      </c>
      <c r="D249" s="3" t="s">
        <v>38</v>
      </c>
      <c r="E249" s="2" t="s">
        <v>39</v>
      </c>
      <c r="F249" s="3">
        <v>85652.0</v>
      </c>
      <c r="G249" s="2" t="s">
        <v>904</v>
      </c>
      <c r="H249" s="5">
        <v>45908.73504629629</v>
      </c>
      <c r="I249" s="2" t="s">
        <v>57</v>
      </c>
      <c r="J249" s="2" t="s">
        <v>905</v>
      </c>
      <c r="K249" s="2" t="s">
        <v>110</v>
      </c>
      <c r="L249" s="2" t="s">
        <v>44</v>
      </c>
      <c r="M249" s="2" t="s">
        <v>906</v>
      </c>
      <c r="N249" s="2" t="s">
        <v>907</v>
      </c>
      <c r="O249" s="2" t="s">
        <v>908</v>
      </c>
      <c r="P249" s="4">
        <v>46084.0</v>
      </c>
      <c r="Q249" s="4">
        <v>46359.0</v>
      </c>
      <c r="R249" s="3">
        <v>1703.0</v>
      </c>
      <c r="S249" s="2" t="s">
        <v>307</v>
      </c>
      <c r="T249" s="2" t="s">
        <v>110</v>
      </c>
      <c r="U249" s="2" t="s">
        <v>187</v>
      </c>
      <c r="V249" s="2" t="s">
        <v>116</v>
      </c>
      <c r="W249" s="2" t="s">
        <v>51</v>
      </c>
      <c r="X249" s="2" t="s">
        <v>117</v>
      </c>
      <c r="Y249" s="2" t="s">
        <v>53</v>
      </c>
      <c r="Z249" s="3">
        <v>8.0</v>
      </c>
      <c r="AA249" s="2" t="s">
        <v>54</v>
      </c>
      <c r="AB249" s="3">
        <v>12.0</v>
      </c>
      <c r="AC249" s="3">
        <v>12.0</v>
      </c>
      <c r="AD249" s="7">
        <v>1.0</v>
      </c>
      <c r="AE249" s="3">
        <v>48.0</v>
      </c>
      <c r="AF249" s="3">
        <v>4.0</v>
      </c>
      <c r="AG249" s="3">
        <v>0.0</v>
      </c>
      <c r="AH249" s="3">
        <v>4.0</v>
      </c>
      <c r="AI249" s="3">
        <v>0.0</v>
      </c>
      <c r="AJ249" s="3">
        <v>0.0</v>
      </c>
      <c r="AK249" s="3">
        <v>4.0</v>
      </c>
    </row>
    <row r="250">
      <c r="A250" s="2" t="s">
        <v>37</v>
      </c>
      <c r="B250" s="3">
        <v>39079.0</v>
      </c>
      <c r="C250" s="4">
        <v>45666.0</v>
      </c>
      <c r="D250" s="3" t="s">
        <v>38</v>
      </c>
      <c r="E250" s="2" t="s">
        <v>72</v>
      </c>
      <c r="F250" s="3">
        <v>78956.0</v>
      </c>
      <c r="G250" s="2" t="s">
        <v>909</v>
      </c>
      <c r="H250" s="5">
        <v>45635.499340277776</v>
      </c>
      <c r="I250" s="2" t="s">
        <v>57</v>
      </c>
      <c r="J250" s="2" t="s">
        <v>42</v>
      </c>
      <c r="K250" s="2" t="s">
        <v>43</v>
      </c>
      <c r="L250" s="2" t="s">
        <v>44</v>
      </c>
      <c r="M250" s="2" t="s">
        <v>89</v>
      </c>
      <c r="N250" s="2" t="s">
        <v>888</v>
      </c>
      <c r="O250" s="2" t="s">
        <v>910</v>
      </c>
      <c r="P250" s="4">
        <v>46056.0</v>
      </c>
      <c r="Q250" s="3" t="s">
        <v>147</v>
      </c>
      <c r="R250" s="3">
        <v>1955.0</v>
      </c>
      <c r="S250" s="2" t="s">
        <v>911</v>
      </c>
      <c r="T250" s="2" t="s">
        <v>43</v>
      </c>
      <c r="U250" s="2" t="s">
        <v>433</v>
      </c>
      <c r="V250" s="2" t="s">
        <v>434</v>
      </c>
      <c r="W250" s="2" t="s">
        <v>51</v>
      </c>
      <c r="X250" s="2" t="s">
        <v>172</v>
      </c>
      <c r="Y250" s="2" t="s">
        <v>53</v>
      </c>
      <c r="Z250" s="3">
        <v>10.0</v>
      </c>
      <c r="AA250" s="2" t="s">
        <v>54</v>
      </c>
      <c r="AB250" s="3">
        <v>17.0</v>
      </c>
      <c r="AC250" s="3">
        <v>17.0</v>
      </c>
      <c r="AD250" s="7">
        <v>1.0</v>
      </c>
      <c r="AE250" s="3">
        <v>17.0</v>
      </c>
      <c r="AF250" s="3">
        <v>3.0</v>
      </c>
      <c r="AG250" s="3">
        <v>0.0</v>
      </c>
      <c r="AH250" s="3">
        <v>1.0</v>
      </c>
      <c r="AI250" s="3">
        <v>0.0</v>
      </c>
      <c r="AJ250" s="3">
        <v>2.0</v>
      </c>
      <c r="AK250" s="3">
        <v>1.0</v>
      </c>
    </row>
    <row r="251">
      <c r="A251" s="2" t="s">
        <v>37</v>
      </c>
      <c r="B251" s="3">
        <v>37036.0</v>
      </c>
      <c r="C251" s="3" t="s">
        <v>337</v>
      </c>
      <c r="D251" s="3" t="s">
        <v>38</v>
      </c>
      <c r="E251" s="2" t="s">
        <v>39</v>
      </c>
      <c r="F251" s="3">
        <v>87171.0</v>
      </c>
      <c r="G251" s="2" t="s">
        <v>912</v>
      </c>
      <c r="H251" s="5">
        <v>45992.903078703705</v>
      </c>
      <c r="I251" s="2" t="s">
        <v>57</v>
      </c>
      <c r="J251" s="2" t="s">
        <v>913</v>
      </c>
      <c r="K251" s="2" t="s">
        <v>48</v>
      </c>
      <c r="L251" s="2" t="s">
        <v>44</v>
      </c>
      <c r="M251" s="2" t="s">
        <v>60</v>
      </c>
      <c r="N251" s="2" t="s">
        <v>914</v>
      </c>
      <c r="O251" s="2" t="s">
        <v>915</v>
      </c>
      <c r="P251" s="4">
        <v>46056.0</v>
      </c>
      <c r="Q251" s="4">
        <v>46298.0</v>
      </c>
      <c r="R251" s="3">
        <v>1693.0</v>
      </c>
      <c r="S251" s="2" t="s">
        <v>342</v>
      </c>
      <c r="T251" s="2" t="s">
        <v>48</v>
      </c>
      <c r="U251" s="2" t="s">
        <v>49</v>
      </c>
      <c r="V251" s="2" t="s">
        <v>50</v>
      </c>
      <c r="W251" s="2" t="s">
        <v>51</v>
      </c>
      <c r="X251" s="2" t="s">
        <v>52</v>
      </c>
      <c r="Y251" s="2" t="s">
        <v>53</v>
      </c>
      <c r="Z251" s="3">
        <v>6.0</v>
      </c>
      <c r="AA251" s="2" t="s">
        <v>164</v>
      </c>
      <c r="AB251" s="3">
        <v>30.0</v>
      </c>
      <c r="AC251" s="3">
        <v>30.0</v>
      </c>
      <c r="AD251" s="7">
        <v>0.7556</v>
      </c>
      <c r="AE251" s="3">
        <v>68.0</v>
      </c>
      <c r="AF251" s="3">
        <v>3.0</v>
      </c>
      <c r="AG251" s="3">
        <v>0.0</v>
      </c>
      <c r="AH251" s="3">
        <v>3.0</v>
      </c>
      <c r="AI251" s="3">
        <v>0.0</v>
      </c>
      <c r="AJ251" s="3">
        <v>0.0</v>
      </c>
      <c r="AK251" s="3">
        <v>3.0</v>
      </c>
    </row>
    <row r="252">
      <c r="A252" s="2" t="s">
        <v>37</v>
      </c>
      <c r="B252" s="3">
        <v>36983.0</v>
      </c>
      <c r="C252" s="4">
        <v>45662.0</v>
      </c>
      <c r="D252" s="3" t="s">
        <v>38</v>
      </c>
      <c r="E252" s="2" t="s">
        <v>72</v>
      </c>
      <c r="F252" s="3">
        <v>84709.0</v>
      </c>
      <c r="G252" s="2" t="s">
        <v>916</v>
      </c>
      <c r="H252" s="5">
        <v>45879.55731481482</v>
      </c>
      <c r="I252" s="2" t="s">
        <v>57</v>
      </c>
      <c r="J252" s="2" t="s">
        <v>917</v>
      </c>
      <c r="K252" s="2" t="s">
        <v>513</v>
      </c>
      <c r="L252" s="2" t="s">
        <v>44</v>
      </c>
      <c r="M252" s="2" t="s">
        <v>111</v>
      </c>
      <c r="N252" s="2" t="s">
        <v>90</v>
      </c>
      <c r="O252" s="2" t="s">
        <v>918</v>
      </c>
      <c r="P252" s="4">
        <v>46056.0</v>
      </c>
      <c r="Q252" s="4">
        <v>46056.0</v>
      </c>
      <c r="R252" s="3">
        <v>1766.0</v>
      </c>
      <c r="S252" s="2" t="s">
        <v>482</v>
      </c>
      <c r="T252" s="2" t="s">
        <v>81</v>
      </c>
      <c r="U252" s="2" t="s">
        <v>416</v>
      </c>
      <c r="V252" s="2" t="s">
        <v>83</v>
      </c>
      <c r="W252" s="2" t="s">
        <v>68</v>
      </c>
      <c r="X252" s="2" t="s">
        <v>69</v>
      </c>
      <c r="Y252" s="2" t="s">
        <v>53</v>
      </c>
      <c r="Z252" s="3">
        <v>6.0</v>
      </c>
      <c r="AA252" s="2" t="s">
        <v>180</v>
      </c>
      <c r="AB252" s="3">
        <v>23.0</v>
      </c>
      <c r="AC252" s="3">
        <v>23.0</v>
      </c>
      <c r="AD252" s="7">
        <v>0.8261</v>
      </c>
      <c r="AE252" s="3">
        <v>19.0</v>
      </c>
      <c r="AF252" s="3">
        <v>1.0</v>
      </c>
      <c r="AG252" s="3">
        <v>0.0</v>
      </c>
      <c r="AH252" s="3">
        <v>1.0</v>
      </c>
      <c r="AI252" s="3">
        <v>0.0</v>
      </c>
      <c r="AJ252" s="3">
        <v>0.0</v>
      </c>
      <c r="AK252" s="3">
        <v>1.0</v>
      </c>
    </row>
    <row r="253">
      <c r="A253" s="2" t="s">
        <v>37</v>
      </c>
      <c r="B253" s="3">
        <v>39436.0</v>
      </c>
      <c r="C253" s="3" t="s">
        <v>919</v>
      </c>
      <c r="D253" s="3" t="s">
        <v>38</v>
      </c>
      <c r="E253" s="2" t="s">
        <v>39</v>
      </c>
      <c r="F253" s="3">
        <v>83834.0</v>
      </c>
      <c r="G253" s="2" t="s">
        <v>920</v>
      </c>
      <c r="H253" s="5">
        <v>45855.48075231481</v>
      </c>
      <c r="I253" s="2" t="s">
        <v>108</v>
      </c>
      <c r="J253" s="2" t="s">
        <v>921</v>
      </c>
      <c r="K253" s="2" t="s">
        <v>110</v>
      </c>
      <c r="L253" s="2" t="s">
        <v>44</v>
      </c>
      <c r="M253" s="2" t="s">
        <v>111</v>
      </c>
      <c r="N253" s="2" t="s">
        <v>922</v>
      </c>
      <c r="O253" s="2" t="s">
        <v>923</v>
      </c>
      <c r="P253" s="4">
        <v>46056.0</v>
      </c>
      <c r="Q253" s="4">
        <v>46298.0</v>
      </c>
      <c r="R253" s="3">
        <v>1704.0</v>
      </c>
      <c r="S253" s="2" t="s">
        <v>195</v>
      </c>
      <c r="T253" s="2" t="s">
        <v>110</v>
      </c>
      <c r="U253" s="2" t="s">
        <v>187</v>
      </c>
      <c r="V253" s="2" t="s">
        <v>116</v>
      </c>
      <c r="W253" s="2" t="s">
        <v>51</v>
      </c>
      <c r="X253" s="2" t="s">
        <v>117</v>
      </c>
      <c r="Y253" s="2" t="s">
        <v>53</v>
      </c>
      <c r="Z253" s="3">
        <v>6.0</v>
      </c>
      <c r="AA253" s="2" t="s">
        <v>54</v>
      </c>
      <c r="AB253" s="3">
        <v>64.0</v>
      </c>
      <c r="AC253" s="3">
        <v>32.0</v>
      </c>
      <c r="AD253" s="7">
        <v>0.9375</v>
      </c>
      <c r="AE253" s="3">
        <v>60.0</v>
      </c>
      <c r="AF253" s="3">
        <v>4.0</v>
      </c>
      <c r="AG253" s="3">
        <v>0.0</v>
      </c>
      <c r="AH253" s="3">
        <v>2.0</v>
      </c>
      <c r="AI253" s="3">
        <v>0.0</v>
      </c>
      <c r="AJ253" s="3">
        <v>2.0</v>
      </c>
      <c r="AK253" s="3">
        <v>2.0</v>
      </c>
    </row>
    <row r="254">
      <c r="A254" s="2" t="s">
        <v>37</v>
      </c>
      <c r="B254" s="3">
        <v>39779.0</v>
      </c>
      <c r="C254" s="3" t="s">
        <v>924</v>
      </c>
      <c r="D254" s="3" t="s">
        <v>38</v>
      </c>
      <c r="E254" s="2" t="s">
        <v>72</v>
      </c>
      <c r="F254" s="3">
        <v>83545.0</v>
      </c>
      <c r="G254" s="2" t="s">
        <v>925</v>
      </c>
      <c r="H254" s="5">
        <v>45853.664618055554</v>
      </c>
      <c r="I254" s="2" t="s">
        <v>108</v>
      </c>
      <c r="J254" s="2" t="s">
        <v>42</v>
      </c>
      <c r="K254" s="2" t="s">
        <v>43</v>
      </c>
      <c r="L254" s="2" t="s">
        <v>44</v>
      </c>
      <c r="M254" s="2" t="s">
        <v>111</v>
      </c>
      <c r="N254" s="2" t="s">
        <v>926</v>
      </c>
      <c r="O254" s="2" t="s">
        <v>927</v>
      </c>
      <c r="P254" s="4">
        <v>46084.0</v>
      </c>
      <c r="Q254" s="4">
        <v>46206.0</v>
      </c>
      <c r="R254" s="3">
        <v>2028.0</v>
      </c>
      <c r="S254" s="2" t="s">
        <v>560</v>
      </c>
      <c r="T254" s="2" t="s">
        <v>455</v>
      </c>
      <c r="U254" s="2" t="s">
        <v>561</v>
      </c>
      <c r="V254" s="2" t="s">
        <v>150</v>
      </c>
      <c r="W254" s="2" t="s">
        <v>51</v>
      </c>
      <c r="X254" s="2" t="s">
        <v>69</v>
      </c>
      <c r="Y254" s="2" t="s">
        <v>53</v>
      </c>
      <c r="Z254" s="3">
        <v>7.0</v>
      </c>
      <c r="AA254" s="2" t="s">
        <v>231</v>
      </c>
      <c r="AB254" s="3">
        <v>20.0</v>
      </c>
      <c r="AC254" s="3">
        <v>19.0</v>
      </c>
      <c r="AD254" s="7">
        <v>0.4737</v>
      </c>
      <c r="AE254" s="3">
        <v>18.0</v>
      </c>
      <c r="AF254" s="3">
        <v>2.0</v>
      </c>
      <c r="AG254" s="3">
        <v>0.0</v>
      </c>
      <c r="AH254" s="3">
        <v>2.0</v>
      </c>
      <c r="AI254" s="3">
        <v>0.0</v>
      </c>
      <c r="AJ254" s="3">
        <v>0.0</v>
      </c>
      <c r="AK254" s="3">
        <v>2.0</v>
      </c>
    </row>
    <row r="255">
      <c r="A255" s="2" t="s">
        <v>37</v>
      </c>
      <c r="B255" s="3">
        <v>39780.0</v>
      </c>
      <c r="C255" s="3" t="s">
        <v>924</v>
      </c>
      <c r="D255" s="3" t="s">
        <v>38</v>
      </c>
      <c r="E255" s="2" t="s">
        <v>72</v>
      </c>
      <c r="F255" s="3">
        <v>79508.0</v>
      </c>
      <c r="G255" s="2" t="s">
        <v>928</v>
      </c>
      <c r="H255" s="5">
        <v>45664.96454861111</v>
      </c>
      <c r="I255" s="2" t="s">
        <v>57</v>
      </c>
      <c r="J255" s="2" t="s">
        <v>929</v>
      </c>
      <c r="K255" s="2" t="s">
        <v>929</v>
      </c>
      <c r="L255" s="2" t="s">
        <v>930</v>
      </c>
      <c r="M255" s="2" t="s">
        <v>89</v>
      </c>
      <c r="N255" s="2" t="s">
        <v>716</v>
      </c>
      <c r="O255" s="2" t="s">
        <v>931</v>
      </c>
      <c r="P255" s="4">
        <v>46056.0</v>
      </c>
      <c r="Q255" s="4">
        <v>46268.0</v>
      </c>
      <c r="R255" s="3">
        <v>2028.0</v>
      </c>
      <c r="S255" s="2" t="s">
        <v>560</v>
      </c>
      <c r="T255" s="2" t="s">
        <v>455</v>
      </c>
      <c r="U255" s="2" t="s">
        <v>561</v>
      </c>
      <c r="V255" s="2" t="s">
        <v>150</v>
      </c>
      <c r="W255" s="2" t="s">
        <v>51</v>
      </c>
      <c r="X255" s="2" t="s">
        <v>69</v>
      </c>
      <c r="Y255" s="2" t="s">
        <v>53</v>
      </c>
      <c r="Z255" s="3">
        <v>8.0</v>
      </c>
      <c r="AA255" s="2" t="s">
        <v>231</v>
      </c>
      <c r="AB255" s="3">
        <v>29.0</v>
      </c>
      <c r="AC255" s="3">
        <v>28.0</v>
      </c>
      <c r="AD255" s="7">
        <v>0.0</v>
      </c>
      <c r="AE255" s="3">
        <v>0.0</v>
      </c>
      <c r="AF255" s="3">
        <v>3.0</v>
      </c>
      <c r="AG255" s="3">
        <v>0.0</v>
      </c>
      <c r="AH255" s="3">
        <v>0.0</v>
      </c>
      <c r="AI255" s="3">
        <v>0.0</v>
      </c>
      <c r="AJ255" s="3">
        <v>3.0</v>
      </c>
      <c r="AK255" s="3">
        <v>0.0</v>
      </c>
    </row>
    <row r="256">
      <c r="A256" s="2" t="s">
        <v>37</v>
      </c>
      <c r="B256" s="3">
        <v>37076.0</v>
      </c>
      <c r="C256" s="4">
        <v>45723.0</v>
      </c>
      <c r="D256" s="3" t="s">
        <v>38</v>
      </c>
      <c r="E256" s="2" t="s">
        <v>39</v>
      </c>
      <c r="F256" s="3">
        <v>82100.0</v>
      </c>
      <c r="G256" s="2" t="s">
        <v>932</v>
      </c>
      <c r="H256" s="5">
        <v>45827.7397337963</v>
      </c>
      <c r="I256" s="2" t="s">
        <v>57</v>
      </c>
      <c r="J256" s="2" t="s">
        <v>127</v>
      </c>
      <c r="K256" s="2" t="s">
        <v>128</v>
      </c>
      <c r="L256" s="2" t="s">
        <v>44</v>
      </c>
      <c r="M256" s="2" t="s">
        <v>89</v>
      </c>
      <c r="N256" s="2" t="s">
        <v>100</v>
      </c>
      <c r="O256" s="2" t="s">
        <v>933</v>
      </c>
      <c r="P256" s="4">
        <v>46056.0</v>
      </c>
      <c r="Q256" s="4">
        <v>46298.0</v>
      </c>
      <c r="R256" s="3">
        <v>1694.0</v>
      </c>
      <c r="S256" s="2" t="s">
        <v>47</v>
      </c>
      <c r="T256" s="2" t="s">
        <v>48</v>
      </c>
      <c r="U256" s="2" t="s">
        <v>49</v>
      </c>
      <c r="V256" s="2" t="s">
        <v>50</v>
      </c>
      <c r="W256" s="2" t="s">
        <v>51</v>
      </c>
      <c r="X256" s="2" t="s">
        <v>52</v>
      </c>
      <c r="Y256" s="2" t="s">
        <v>53</v>
      </c>
      <c r="Z256" s="3">
        <v>7.0</v>
      </c>
      <c r="AA256" s="2" t="s">
        <v>164</v>
      </c>
      <c r="AB256" s="3">
        <v>14.0</v>
      </c>
      <c r="AC256" s="3">
        <v>13.0</v>
      </c>
      <c r="AD256" s="7">
        <v>0.8718</v>
      </c>
      <c r="AE256" s="3">
        <v>34.0</v>
      </c>
      <c r="AF256" s="3">
        <v>3.0</v>
      </c>
      <c r="AG256" s="3">
        <v>0.0</v>
      </c>
      <c r="AH256" s="3">
        <v>3.0</v>
      </c>
      <c r="AI256" s="3">
        <v>0.0</v>
      </c>
      <c r="AJ256" s="3">
        <v>0.0</v>
      </c>
      <c r="AK256" s="3">
        <v>3.0</v>
      </c>
    </row>
    <row r="257">
      <c r="A257" s="2" t="s">
        <v>37</v>
      </c>
      <c r="B257" s="3">
        <v>38841.0</v>
      </c>
      <c r="C257" s="3" t="s">
        <v>106</v>
      </c>
      <c r="D257" s="3" t="s">
        <v>38</v>
      </c>
      <c r="E257" s="2" t="s">
        <v>39</v>
      </c>
      <c r="F257" s="3">
        <v>84981.0</v>
      </c>
      <c r="G257" s="2" t="s">
        <v>934</v>
      </c>
      <c r="H257" s="5">
        <v>45889.52210648148</v>
      </c>
      <c r="I257" s="2" t="s">
        <v>213</v>
      </c>
      <c r="J257" s="2" t="s">
        <v>42</v>
      </c>
      <c r="K257" s="2" t="s">
        <v>43</v>
      </c>
      <c r="L257" s="2" t="s">
        <v>44</v>
      </c>
      <c r="M257" s="2" t="s">
        <v>111</v>
      </c>
      <c r="N257" s="2" t="s">
        <v>935</v>
      </c>
      <c r="O257" s="2" t="s">
        <v>936</v>
      </c>
      <c r="P257" s="4">
        <v>46084.0</v>
      </c>
      <c r="Q257" s="3" t="s">
        <v>194</v>
      </c>
      <c r="R257" s="3">
        <v>1338.0</v>
      </c>
      <c r="S257" s="2" t="s">
        <v>542</v>
      </c>
      <c r="T257" s="2" t="s">
        <v>110</v>
      </c>
      <c r="U257" s="2" t="s">
        <v>115</v>
      </c>
      <c r="V257" s="2" t="s">
        <v>116</v>
      </c>
      <c r="W257" s="2" t="s">
        <v>51</v>
      </c>
      <c r="X257" s="2" t="s">
        <v>117</v>
      </c>
      <c r="Y257" s="2" t="s">
        <v>53</v>
      </c>
      <c r="Z257" s="3">
        <v>6.0</v>
      </c>
      <c r="AA257" s="2" t="s">
        <v>54</v>
      </c>
      <c r="AB257" s="3">
        <v>26.0</v>
      </c>
      <c r="AC257" s="3">
        <v>26.0</v>
      </c>
      <c r="AD257" s="7">
        <v>1.0</v>
      </c>
      <c r="AE257" s="3">
        <v>104.0</v>
      </c>
      <c r="AF257" s="3">
        <v>4.0</v>
      </c>
      <c r="AG257" s="3">
        <v>0.0</v>
      </c>
      <c r="AH257" s="3">
        <v>4.0</v>
      </c>
      <c r="AI257" s="3">
        <v>0.0</v>
      </c>
      <c r="AJ257" s="3">
        <v>0.0</v>
      </c>
      <c r="AK257" s="3">
        <v>4.0</v>
      </c>
    </row>
    <row r="258">
      <c r="A258" s="2" t="s">
        <v>37</v>
      </c>
      <c r="B258" s="3">
        <v>37371.0</v>
      </c>
      <c r="C258" s="3" t="s">
        <v>85</v>
      </c>
      <c r="D258" s="3" t="s">
        <v>38</v>
      </c>
      <c r="E258" s="2" t="s">
        <v>39</v>
      </c>
      <c r="F258" s="3">
        <v>78158.0</v>
      </c>
      <c r="G258" s="2" t="s">
        <v>937</v>
      </c>
      <c r="H258" s="5">
        <v>45616.376967592594</v>
      </c>
      <c r="I258" s="2" t="s">
        <v>57</v>
      </c>
      <c r="J258" s="2" t="s">
        <v>938</v>
      </c>
      <c r="K258" s="2" t="s">
        <v>88</v>
      </c>
      <c r="L258" s="2" t="s">
        <v>44</v>
      </c>
      <c r="M258" s="2" t="s">
        <v>183</v>
      </c>
      <c r="N258" s="2" t="s">
        <v>939</v>
      </c>
      <c r="O258" s="2" t="s">
        <v>940</v>
      </c>
      <c r="P258" s="4">
        <v>46298.0</v>
      </c>
      <c r="Q258" s="3" t="s">
        <v>92</v>
      </c>
      <c r="R258" s="3">
        <v>1974.0</v>
      </c>
      <c r="S258" s="2" t="s">
        <v>380</v>
      </c>
      <c r="T258" s="2" t="s">
        <v>88</v>
      </c>
      <c r="U258" s="2" t="s">
        <v>94</v>
      </c>
      <c r="V258" s="2" t="s">
        <v>95</v>
      </c>
      <c r="W258" s="2" t="s">
        <v>51</v>
      </c>
      <c r="X258" s="2" t="s">
        <v>96</v>
      </c>
      <c r="Y258" s="2" t="s">
        <v>53</v>
      </c>
      <c r="Z258" s="3">
        <v>7.0</v>
      </c>
      <c r="AA258" s="2" t="s">
        <v>54</v>
      </c>
      <c r="AB258" s="3">
        <v>15.0</v>
      </c>
      <c r="AC258" s="3">
        <v>15.0</v>
      </c>
      <c r="AD258" s="7">
        <v>0.9333</v>
      </c>
      <c r="AE258" s="3">
        <v>42.0</v>
      </c>
      <c r="AF258" s="3">
        <v>4.0</v>
      </c>
      <c r="AG258" s="3">
        <v>0.0</v>
      </c>
      <c r="AH258" s="3">
        <v>0.0</v>
      </c>
      <c r="AI258" s="3">
        <v>3.0</v>
      </c>
      <c r="AJ258" s="3">
        <v>1.0</v>
      </c>
      <c r="AK258" s="3">
        <v>3.0</v>
      </c>
    </row>
    <row r="259">
      <c r="A259" s="2" t="s">
        <v>37</v>
      </c>
      <c r="B259" s="3">
        <v>39016.0</v>
      </c>
      <c r="C259" s="3" t="s">
        <v>142</v>
      </c>
      <c r="D259" s="5">
        <v>46112.99998842592</v>
      </c>
      <c r="E259" s="2" t="s">
        <v>39</v>
      </c>
      <c r="F259" s="3">
        <v>78158.0</v>
      </c>
      <c r="G259" s="2" t="s">
        <v>937</v>
      </c>
      <c r="H259" s="5">
        <v>45616.376967592594</v>
      </c>
      <c r="I259" s="2" t="s">
        <v>57</v>
      </c>
      <c r="J259" s="2" t="s">
        <v>938</v>
      </c>
      <c r="K259" s="2" t="s">
        <v>88</v>
      </c>
      <c r="L259" s="2" t="s">
        <v>44</v>
      </c>
      <c r="M259" s="2" t="s">
        <v>183</v>
      </c>
      <c r="N259" s="2" t="s">
        <v>939</v>
      </c>
      <c r="O259" s="2" t="s">
        <v>940</v>
      </c>
      <c r="P259" s="4">
        <v>46329.0</v>
      </c>
      <c r="Q259" s="3" t="s">
        <v>147</v>
      </c>
      <c r="R259" s="3">
        <v>1995.0</v>
      </c>
      <c r="S259" s="2" t="s">
        <v>372</v>
      </c>
      <c r="T259" s="2" t="s">
        <v>88</v>
      </c>
      <c r="U259" s="2" t="s">
        <v>149</v>
      </c>
      <c r="V259" s="2" t="s">
        <v>150</v>
      </c>
      <c r="W259" s="2" t="s">
        <v>51</v>
      </c>
      <c r="X259" s="2" t="s">
        <v>96</v>
      </c>
      <c r="Y259" s="2" t="s">
        <v>210</v>
      </c>
      <c r="Z259" s="3">
        <v>6.0</v>
      </c>
      <c r="AA259" s="2" t="s">
        <v>164</v>
      </c>
      <c r="AB259" s="3">
        <v>75.0</v>
      </c>
      <c r="AC259" s="3">
        <v>62.0</v>
      </c>
      <c r="AD259" s="7">
        <v>0.8548</v>
      </c>
      <c r="AE259" s="3">
        <v>212.0</v>
      </c>
      <c r="AF259" s="3">
        <v>4.0</v>
      </c>
      <c r="AG259" s="3">
        <v>0.0</v>
      </c>
      <c r="AH259" s="3">
        <v>0.0</v>
      </c>
      <c r="AI259" s="3">
        <v>4.0</v>
      </c>
      <c r="AJ259" s="3">
        <v>0.0</v>
      </c>
      <c r="AK259" s="3">
        <v>4.0</v>
      </c>
    </row>
    <row r="260">
      <c r="A260" s="2" t="s">
        <v>37</v>
      </c>
      <c r="B260" s="3">
        <v>38830.0</v>
      </c>
      <c r="C260" s="3" t="s">
        <v>106</v>
      </c>
      <c r="D260" s="3" t="s">
        <v>38</v>
      </c>
      <c r="E260" s="2" t="s">
        <v>39</v>
      </c>
      <c r="F260" s="3">
        <v>19378.0</v>
      </c>
      <c r="G260" s="2" t="s">
        <v>941</v>
      </c>
      <c r="H260" s="5">
        <v>42999.518113425926</v>
      </c>
      <c r="I260" s="2" t="s">
        <v>53</v>
      </c>
      <c r="J260" s="2" t="s">
        <v>191</v>
      </c>
      <c r="K260" s="2" t="s">
        <v>110</v>
      </c>
      <c r="L260" s="2" t="s">
        <v>44</v>
      </c>
      <c r="M260" s="2" t="s">
        <v>45</v>
      </c>
      <c r="N260" s="6"/>
      <c r="O260" s="2" t="s">
        <v>942</v>
      </c>
      <c r="P260" s="4">
        <v>46084.0</v>
      </c>
      <c r="Q260" s="4">
        <v>46329.0</v>
      </c>
      <c r="R260" s="3">
        <v>1335.0</v>
      </c>
      <c r="S260" s="2" t="s">
        <v>486</v>
      </c>
      <c r="T260" s="2" t="s">
        <v>110</v>
      </c>
      <c r="U260" s="2" t="s">
        <v>115</v>
      </c>
      <c r="V260" s="2" t="s">
        <v>116</v>
      </c>
      <c r="W260" s="2" t="s">
        <v>51</v>
      </c>
      <c r="X260" s="2" t="s">
        <v>117</v>
      </c>
      <c r="Y260" s="2" t="s">
        <v>53</v>
      </c>
      <c r="Z260" s="3">
        <v>6.0</v>
      </c>
      <c r="AA260" s="2" t="s">
        <v>54</v>
      </c>
      <c r="AB260" s="3">
        <v>12.0</v>
      </c>
      <c r="AC260" s="3">
        <v>12.0</v>
      </c>
      <c r="AD260" s="7">
        <v>1.0</v>
      </c>
      <c r="AE260" s="3">
        <v>48.0</v>
      </c>
      <c r="AF260" s="3">
        <v>4.0</v>
      </c>
      <c r="AG260" s="3">
        <v>0.0</v>
      </c>
      <c r="AH260" s="3">
        <v>4.0</v>
      </c>
      <c r="AI260" s="3">
        <v>0.0</v>
      </c>
      <c r="AJ260" s="3">
        <v>0.0</v>
      </c>
      <c r="AK260" s="3">
        <v>4.0</v>
      </c>
    </row>
    <row r="261">
      <c r="A261" s="2" t="s">
        <v>37</v>
      </c>
      <c r="B261" s="3">
        <v>38996.0</v>
      </c>
      <c r="C261" s="3" t="s">
        <v>142</v>
      </c>
      <c r="D261" s="5">
        <v>46112.99998842592</v>
      </c>
      <c r="E261" s="2" t="s">
        <v>39</v>
      </c>
      <c r="F261" s="3">
        <v>84522.0</v>
      </c>
      <c r="G261" s="2" t="s">
        <v>943</v>
      </c>
      <c r="H261" s="5">
        <v>45870.713842592595</v>
      </c>
      <c r="I261" s="2" t="s">
        <v>57</v>
      </c>
      <c r="J261" s="2" t="s">
        <v>351</v>
      </c>
      <c r="K261" s="2" t="s">
        <v>88</v>
      </c>
      <c r="L261" s="2" t="s">
        <v>44</v>
      </c>
      <c r="M261" s="2" t="s">
        <v>77</v>
      </c>
      <c r="N261" s="2" t="s">
        <v>944</v>
      </c>
      <c r="O261" s="2" t="s">
        <v>945</v>
      </c>
      <c r="P261" s="4">
        <v>46268.0</v>
      </c>
      <c r="Q261" s="3" t="s">
        <v>208</v>
      </c>
      <c r="R261" s="3">
        <v>1997.0</v>
      </c>
      <c r="S261" s="2" t="s">
        <v>148</v>
      </c>
      <c r="T261" s="2" t="s">
        <v>88</v>
      </c>
      <c r="U261" s="2" t="s">
        <v>149</v>
      </c>
      <c r="V261" s="2" t="s">
        <v>150</v>
      </c>
      <c r="W261" s="2" t="s">
        <v>51</v>
      </c>
      <c r="X261" s="2" t="s">
        <v>96</v>
      </c>
      <c r="Y261" s="2" t="s">
        <v>210</v>
      </c>
      <c r="Z261" s="3">
        <v>8.0</v>
      </c>
      <c r="AA261" s="2" t="s">
        <v>164</v>
      </c>
      <c r="AB261" s="3">
        <v>33.0</v>
      </c>
      <c r="AC261" s="3">
        <v>33.0</v>
      </c>
      <c r="AD261" s="7">
        <v>0.6667</v>
      </c>
      <c r="AE261" s="3">
        <v>110.0</v>
      </c>
      <c r="AF261" s="3">
        <v>5.0</v>
      </c>
      <c r="AG261" s="3">
        <v>0.0</v>
      </c>
      <c r="AH261" s="3">
        <v>3.0</v>
      </c>
      <c r="AI261" s="3">
        <v>2.0</v>
      </c>
      <c r="AJ261" s="3">
        <v>0.0</v>
      </c>
      <c r="AK261" s="3">
        <v>5.0</v>
      </c>
    </row>
    <row r="262">
      <c r="A262" s="2" t="s">
        <v>37</v>
      </c>
      <c r="B262" s="3">
        <v>36807.0</v>
      </c>
      <c r="C262" s="3" t="s">
        <v>71</v>
      </c>
      <c r="D262" s="3" t="s">
        <v>38</v>
      </c>
      <c r="E262" s="2" t="s">
        <v>72</v>
      </c>
      <c r="F262" s="3">
        <v>84517.0</v>
      </c>
      <c r="G262" s="2" t="s">
        <v>946</v>
      </c>
      <c r="H262" s="5">
        <v>45870.55672453704</v>
      </c>
      <c r="I262" s="2" t="s">
        <v>57</v>
      </c>
      <c r="J262" s="2" t="s">
        <v>42</v>
      </c>
      <c r="K262" s="2" t="s">
        <v>43</v>
      </c>
      <c r="L262" s="2" t="s">
        <v>44</v>
      </c>
      <c r="M262" s="2" t="s">
        <v>89</v>
      </c>
      <c r="N262" s="2" t="s">
        <v>673</v>
      </c>
      <c r="O262" s="2" t="s">
        <v>947</v>
      </c>
      <c r="P262" s="4">
        <v>46056.0</v>
      </c>
      <c r="Q262" s="4">
        <v>46056.0</v>
      </c>
      <c r="R262" s="3">
        <v>1830.0</v>
      </c>
      <c r="S262" s="2" t="s">
        <v>572</v>
      </c>
      <c r="T262" s="2" t="s">
        <v>81</v>
      </c>
      <c r="U262" s="2" t="s">
        <v>573</v>
      </c>
      <c r="V262" s="2" t="s">
        <v>83</v>
      </c>
      <c r="W262" s="2" t="s">
        <v>68</v>
      </c>
      <c r="X262" s="2" t="s">
        <v>69</v>
      </c>
      <c r="Y262" s="2" t="s">
        <v>53</v>
      </c>
      <c r="Z262" s="3">
        <v>7.0</v>
      </c>
      <c r="AA262" s="2" t="s">
        <v>141</v>
      </c>
      <c r="AB262" s="3">
        <v>26.0</v>
      </c>
      <c r="AC262" s="3">
        <v>26.0</v>
      </c>
      <c r="AD262" s="7">
        <v>0.9231</v>
      </c>
      <c r="AE262" s="3">
        <v>24.0</v>
      </c>
      <c r="AF262" s="3">
        <v>1.0</v>
      </c>
      <c r="AG262" s="3">
        <v>0.0</v>
      </c>
      <c r="AH262" s="3">
        <v>0.0</v>
      </c>
      <c r="AI262" s="3">
        <v>1.0</v>
      </c>
      <c r="AJ262" s="3">
        <v>0.0</v>
      </c>
      <c r="AK262" s="3">
        <v>1.0</v>
      </c>
    </row>
    <row r="263">
      <c r="A263" s="2" t="s">
        <v>37</v>
      </c>
      <c r="B263" s="3">
        <v>40209.0</v>
      </c>
      <c r="C263" s="3" t="s">
        <v>55</v>
      </c>
      <c r="D263" s="3" t="s">
        <v>38</v>
      </c>
      <c r="E263" s="2" t="s">
        <v>39</v>
      </c>
      <c r="F263" s="3">
        <v>88680.0</v>
      </c>
      <c r="G263" s="2" t="s">
        <v>948</v>
      </c>
      <c r="H263" s="5">
        <v>46069.81927083333</v>
      </c>
      <c r="I263" s="2" t="s">
        <v>557</v>
      </c>
      <c r="J263" s="2" t="s">
        <v>949</v>
      </c>
      <c r="K263" s="2" t="s">
        <v>513</v>
      </c>
      <c r="L263" s="2" t="s">
        <v>44</v>
      </c>
      <c r="M263" s="2" t="s">
        <v>111</v>
      </c>
      <c r="N263" s="2" t="s">
        <v>950</v>
      </c>
      <c r="O263" s="2" t="s">
        <v>951</v>
      </c>
      <c r="P263" s="4">
        <v>46268.0</v>
      </c>
      <c r="Q263" s="3" t="s">
        <v>102</v>
      </c>
      <c r="R263" s="3">
        <v>1774.0</v>
      </c>
      <c r="S263" s="2" t="s">
        <v>131</v>
      </c>
      <c r="T263" s="2" t="s">
        <v>65</v>
      </c>
      <c r="U263" s="2" t="s">
        <v>104</v>
      </c>
      <c r="V263" s="2" t="s">
        <v>67</v>
      </c>
      <c r="W263" s="2" t="s">
        <v>68</v>
      </c>
      <c r="X263" s="2" t="s">
        <v>69</v>
      </c>
      <c r="Y263" s="2" t="s">
        <v>53</v>
      </c>
      <c r="Z263" s="3">
        <v>6.0</v>
      </c>
      <c r="AA263" s="2" t="s">
        <v>105</v>
      </c>
      <c r="AB263" s="3">
        <v>22.0</v>
      </c>
      <c r="AC263" s="3">
        <v>22.0</v>
      </c>
      <c r="AD263" s="7">
        <v>0.8909</v>
      </c>
      <c r="AE263" s="3">
        <v>98.0</v>
      </c>
      <c r="AF263" s="3">
        <v>5.0</v>
      </c>
      <c r="AG263" s="3">
        <v>0.0</v>
      </c>
      <c r="AH263" s="3">
        <v>5.0</v>
      </c>
      <c r="AI263" s="3">
        <v>0.0</v>
      </c>
      <c r="AJ263" s="3">
        <v>0.0</v>
      </c>
      <c r="AK263" s="3">
        <v>5.0</v>
      </c>
    </row>
    <row r="264">
      <c r="A264" s="2" t="s">
        <v>37</v>
      </c>
      <c r="B264" s="3">
        <v>37044.0</v>
      </c>
      <c r="C264" s="3" t="s">
        <v>196</v>
      </c>
      <c r="D264" s="3" t="s">
        <v>38</v>
      </c>
      <c r="E264" s="2" t="s">
        <v>39</v>
      </c>
      <c r="F264" s="3">
        <v>82431.0</v>
      </c>
      <c r="G264" s="2" t="s">
        <v>952</v>
      </c>
      <c r="H264" s="5">
        <v>45836.40456018518</v>
      </c>
      <c r="I264" s="2" t="s">
        <v>57</v>
      </c>
      <c r="J264" s="2" t="s">
        <v>127</v>
      </c>
      <c r="K264" s="2" t="s">
        <v>128</v>
      </c>
      <c r="L264" s="2" t="s">
        <v>44</v>
      </c>
      <c r="M264" s="2" t="s">
        <v>77</v>
      </c>
      <c r="N264" s="2" t="s">
        <v>855</v>
      </c>
      <c r="O264" s="2" t="s">
        <v>953</v>
      </c>
      <c r="P264" s="4">
        <v>46176.0</v>
      </c>
      <c r="Q264" s="3" t="s">
        <v>194</v>
      </c>
      <c r="R264" s="3">
        <v>1696.0</v>
      </c>
      <c r="S264" s="2" t="s">
        <v>202</v>
      </c>
      <c r="T264" s="2" t="s">
        <v>48</v>
      </c>
      <c r="U264" s="2" t="s">
        <v>49</v>
      </c>
      <c r="V264" s="2" t="s">
        <v>50</v>
      </c>
      <c r="W264" s="2" t="s">
        <v>51</v>
      </c>
      <c r="X264" s="2" t="s">
        <v>52</v>
      </c>
      <c r="Y264" s="2" t="s">
        <v>53</v>
      </c>
      <c r="Z264" s="3">
        <v>6.0</v>
      </c>
      <c r="AA264" s="2" t="s">
        <v>54</v>
      </c>
      <c r="AB264" s="3">
        <v>13.0</v>
      </c>
      <c r="AC264" s="3">
        <v>13.0</v>
      </c>
      <c r="AD264" s="7">
        <v>0.9487</v>
      </c>
      <c r="AE264" s="3">
        <v>37.0</v>
      </c>
      <c r="AF264" s="3">
        <v>3.0</v>
      </c>
      <c r="AG264" s="3">
        <v>0.0</v>
      </c>
      <c r="AH264" s="3">
        <v>2.0</v>
      </c>
      <c r="AI264" s="3">
        <v>1.0</v>
      </c>
      <c r="AJ264" s="3">
        <v>0.0</v>
      </c>
      <c r="AK264" s="3">
        <v>3.0</v>
      </c>
    </row>
    <row r="265">
      <c r="A265" s="2" t="s">
        <v>37</v>
      </c>
      <c r="B265" s="3">
        <v>38813.0</v>
      </c>
      <c r="C265" s="3" t="s">
        <v>106</v>
      </c>
      <c r="D265" s="3" t="s">
        <v>38</v>
      </c>
      <c r="E265" s="2" t="s">
        <v>39</v>
      </c>
      <c r="F265" s="3">
        <v>85929.0</v>
      </c>
      <c r="G265" s="2" t="s">
        <v>954</v>
      </c>
      <c r="H265" s="5">
        <v>45917.87390046296</v>
      </c>
      <c r="I265" s="2" t="s">
        <v>442</v>
      </c>
      <c r="J265" s="2" t="s">
        <v>127</v>
      </c>
      <c r="K265" s="2" t="s">
        <v>128</v>
      </c>
      <c r="L265" s="2" t="s">
        <v>44</v>
      </c>
      <c r="M265" s="2" t="s">
        <v>256</v>
      </c>
      <c r="N265" s="2" t="s">
        <v>955</v>
      </c>
      <c r="O265" s="2" t="s">
        <v>956</v>
      </c>
      <c r="P265" s="4">
        <v>46056.0</v>
      </c>
      <c r="Q265" s="4">
        <v>46359.0</v>
      </c>
      <c r="R265" s="3">
        <v>1329.0</v>
      </c>
      <c r="S265" s="2" t="s">
        <v>268</v>
      </c>
      <c r="T265" s="2" t="s">
        <v>110</v>
      </c>
      <c r="U265" s="2" t="s">
        <v>115</v>
      </c>
      <c r="V265" s="2" t="s">
        <v>116</v>
      </c>
      <c r="W265" s="2" t="s">
        <v>51</v>
      </c>
      <c r="X265" s="2" t="s">
        <v>117</v>
      </c>
      <c r="Y265" s="2" t="s">
        <v>53</v>
      </c>
      <c r="Z265" s="3">
        <v>7.0</v>
      </c>
      <c r="AA265" s="2" t="s">
        <v>54</v>
      </c>
      <c r="AB265" s="3">
        <v>30.0</v>
      </c>
      <c r="AC265" s="3">
        <v>29.0</v>
      </c>
      <c r="AD265" s="7">
        <v>1.0</v>
      </c>
      <c r="AE265" s="3">
        <v>116.0</v>
      </c>
      <c r="AF265" s="3">
        <v>4.0</v>
      </c>
      <c r="AG265" s="3">
        <v>0.0</v>
      </c>
      <c r="AH265" s="3">
        <v>4.0</v>
      </c>
      <c r="AI265" s="3">
        <v>0.0</v>
      </c>
      <c r="AJ265" s="3">
        <v>0.0</v>
      </c>
      <c r="AK265" s="3">
        <v>4.0</v>
      </c>
    </row>
    <row r="266">
      <c r="A266" s="2" t="s">
        <v>37</v>
      </c>
      <c r="B266" s="3">
        <v>38978.0</v>
      </c>
      <c r="C266" s="3" t="s">
        <v>211</v>
      </c>
      <c r="D266" s="5">
        <v>46112.99998842592</v>
      </c>
      <c r="E266" s="2" t="s">
        <v>39</v>
      </c>
      <c r="F266" s="3">
        <v>88311.0</v>
      </c>
      <c r="G266" s="2" t="s">
        <v>957</v>
      </c>
      <c r="H266" s="5">
        <v>46047.89829861111</v>
      </c>
      <c r="I266" s="2" t="s">
        <v>57</v>
      </c>
      <c r="J266" s="2" t="s">
        <v>958</v>
      </c>
      <c r="K266" s="2" t="s">
        <v>59</v>
      </c>
      <c r="L266" s="2" t="s">
        <v>44</v>
      </c>
      <c r="M266" s="2" t="s">
        <v>111</v>
      </c>
      <c r="N266" s="2" t="s">
        <v>959</v>
      </c>
      <c r="O266" s="2" t="s">
        <v>960</v>
      </c>
      <c r="P266" s="4">
        <v>46298.0</v>
      </c>
      <c r="Q266" s="3" t="s">
        <v>92</v>
      </c>
      <c r="R266" s="3">
        <v>2002.0</v>
      </c>
      <c r="S266" s="2" t="s">
        <v>216</v>
      </c>
      <c r="T266" s="2" t="s">
        <v>88</v>
      </c>
      <c r="U266" s="2" t="s">
        <v>149</v>
      </c>
      <c r="V266" s="2" t="s">
        <v>150</v>
      </c>
      <c r="W266" s="2" t="s">
        <v>51</v>
      </c>
      <c r="X266" s="2" t="s">
        <v>96</v>
      </c>
      <c r="Y266" s="2" t="s">
        <v>210</v>
      </c>
      <c r="Z266" s="3">
        <v>7.0</v>
      </c>
      <c r="AA266" s="2" t="s">
        <v>164</v>
      </c>
      <c r="AB266" s="3">
        <v>15.0</v>
      </c>
      <c r="AC266" s="3">
        <v>15.0</v>
      </c>
      <c r="AD266" s="7">
        <v>0.8533</v>
      </c>
      <c r="AE266" s="3">
        <v>64.0</v>
      </c>
      <c r="AF266" s="3">
        <v>5.0</v>
      </c>
      <c r="AG266" s="3">
        <v>0.0</v>
      </c>
      <c r="AH266" s="3">
        <v>4.0</v>
      </c>
      <c r="AI266" s="3">
        <v>1.0</v>
      </c>
      <c r="AJ266" s="3">
        <v>0.0</v>
      </c>
      <c r="AK266" s="3">
        <v>5.0</v>
      </c>
    </row>
    <row r="267">
      <c r="A267" s="2" t="s">
        <v>37</v>
      </c>
      <c r="B267" s="3">
        <v>40202.0</v>
      </c>
      <c r="C267" s="3" t="s">
        <v>55</v>
      </c>
      <c r="D267" s="3" t="s">
        <v>38</v>
      </c>
      <c r="E267" s="2" t="s">
        <v>39</v>
      </c>
      <c r="F267" s="3">
        <v>88632.0</v>
      </c>
      <c r="G267" s="2" t="s">
        <v>961</v>
      </c>
      <c r="H267" s="5">
        <v>46066.99269675926</v>
      </c>
      <c r="I267" s="2" t="s">
        <v>98</v>
      </c>
      <c r="J267" s="2" t="s">
        <v>42</v>
      </c>
      <c r="K267" s="2" t="s">
        <v>43</v>
      </c>
      <c r="L267" s="2" t="s">
        <v>44</v>
      </c>
      <c r="M267" s="2" t="s">
        <v>60</v>
      </c>
      <c r="N267" s="2" t="s">
        <v>100</v>
      </c>
      <c r="O267" s="2" t="s">
        <v>962</v>
      </c>
      <c r="P267" s="4">
        <v>46176.0</v>
      </c>
      <c r="Q267" s="3" t="s">
        <v>63</v>
      </c>
      <c r="R267" s="3">
        <v>1790.0</v>
      </c>
      <c r="S267" s="2" t="s">
        <v>289</v>
      </c>
      <c r="T267" s="2" t="s">
        <v>65</v>
      </c>
      <c r="U267" s="2" t="s">
        <v>66</v>
      </c>
      <c r="V267" s="2" t="s">
        <v>67</v>
      </c>
      <c r="W267" s="2" t="s">
        <v>68</v>
      </c>
      <c r="X267" s="2" t="s">
        <v>69</v>
      </c>
      <c r="Y267" s="2" t="s">
        <v>53</v>
      </c>
      <c r="Z267" s="3">
        <v>8.0</v>
      </c>
      <c r="AA267" s="2" t="s">
        <v>105</v>
      </c>
      <c r="AB267" s="3">
        <v>31.0</v>
      </c>
      <c r="AC267" s="3">
        <v>31.0</v>
      </c>
      <c r="AD267" s="7">
        <v>0.9585</v>
      </c>
      <c r="AE267" s="3">
        <v>208.0</v>
      </c>
      <c r="AF267" s="3">
        <v>7.0</v>
      </c>
      <c r="AG267" s="3">
        <v>0.0</v>
      </c>
      <c r="AH267" s="3">
        <v>5.0</v>
      </c>
      <c r="AI267" s="3">
        <v>2.0</v>
      </c>
      <c r="AJ267" s="3">
        <v>0.0</v>
      </c>
      <c r="AK267" s="3">
        <v>7.0</v>
      </c>
    </row>
    <row r="268">
      <c r="A268" s="2" t="s">
        <v>37</v>
      </c>
      <c r="B268" s="3">
        <v>38829.0</v>
      </c>
      <c r="C268" s="3" t="s">
        <v>106</v>
      </c>
      <c r="D268" s="3" t="s">
        <v>38</v>
      </c>
      <c r="E268" s="2" t="s">
        <v>39</v>
      </c>
      <c r="F268" s="3">
        <v>85413.0</v>
      </c>
      <c r="G268" s="2" t="s">
        <v>963</v>
      </c>
      <c r="H268" s="5">
        <v>45898.91931712963</v>
      </c>
      <c r="I268" s="2" t="s">
        <v>57</v>
      </c>
      <c r="J268" s="2" t="s">
        <v>964</v>
      </c>
      <c r="K268" s="2" t="s">
        <v>110</v>
      </c>
      <c r="L268" s="2" t="s">
        <v>44</v>
      </c>
      <c r="M268" s="2" t="s">
        <v>99</v>
      </c>
      <c r="N268" s="2" t="s">
        <v>965</v>
      </c>
      <c r="O268" s="2" t="s">
        <v>966</v>
      </c>
      <c r="P268" s="4">
        <v>46056.0</v>
      </c>
      <c r="Q268" s="3" t="s">
        <v>194</v>
      </c>
      <c r="R268" s="3">
        <v>1334.0</v>
      </c>
      <c r="S268" s="2" t="s">
        <v>967</v>
      </c>
      <c r="T268" s="2" t="s">
        <v>110</v>
      </c>
      <c r="U268" s="2" t="s">
        <v>115</v>
      </c>
      <c r="V268" s="2" t="s">
        <v>116</v>
      </c>
      <c r="W268" s="2" t="s">
        <v>51</v>
      </c>
      <c r="X268" s="2" t="s">
        <v>117</v>
      </c>
      <c r="Y268" s="2" t="s">
        <v>188</v>
      </c>
      <c r="Z268" s="3">
        <v>8.0</v>
      </c>
      <c r="AA268" s="2" t="s">
        <v>164</v>
      </c>
      <c r="AB268" s="3">
        <v>27.0</v>
      </c>
      <c r="AC268" s="3">
        <v>27.0</v>
      </c>
      <c r="AD268" s="7">
        <v>1.0</v>
      </c>
      <c r="AE268" s="3">
        <v>108.0</v>
      </c>
      <c r="AF268" s="3">
        <v>4.0</v>
      </c>
      <c r="AG268" s="3">
        <v>0.0</v>
      </c>
      <c r="AH268" s="3">
        <v>4.0</v>
      </c>
      <c r="AI268" s="3">
        <v>0.0</v>
      </c>
      <c r="AJ268" s="3">
        <v>0.0</v>
      </c>
      <c r="AK268" s="3">
        <v>4.0</v>
      </c>
    </row>
    <row r="269">
      <c r="A269" s="2" t="s">
        <v>37</v>
      </c>
      <c r="B269" s="3">
        <v>39169.0</v>
      </c>
      <c r="C269" s="4">
        <v>45697.0</v>
      </c>
      <c r="D269" s="3" t="s">
        <v>38</v>
      </c>
      <c r="E269" s="2" t="s">
        <v>72</v>
      </c>
      <c r="F269" s="3">
        <v>85402.0</v>
      </c>
      <c r="G269" s="2" t="s">
        <v>968</v>
      </c>
      <c r="H269" s="5">
        <v>45898.64475694444</v>
      </c>
      <c r="I269" s="2" t="s">
        <v>57</v>
      </c>
      <c r="J269" s="2" t="s">
        <v>42</v>
      </c>
      <c r="K269" s="2" t="s">
        <v>43</v>
      </c>
      <c r="L269" s="2" t="s">
        <v>44</v>
      </c>
      <c r="M269" s="2" t="s">
        <v>99</v>
      </c>
      <c r="N269" s="2" t="s">
        <v>413</v>
      </c>
      <c r="O269" s="2" t="s">
        <v>969</v>
      </c>
      <c r="P269" s="4">
        <v>46056.0</v>
      </c>
      <c r="Q269" s="4">
        <v>46115.0</v>
      </c>
      <c r="R269" s="3">
        <v>2015.0</v>
      </c>
      <c r="S269" s="2" t="s">
        <v>249</v>
      </c>
      <c r="T269" s="2" t="s">
        <v>43</v>
      </c>
      <c r="U269" s="2" t="s">
        <v>250</v>
      </c>
      <c r="V269" s="2" t="s">
        <v>251</v>
      </c>
      <c r="W269" s="2" t="s">
        <v>51</v>
      </c>
      <c r="X269" s="2" t="s">
        <v>172</v>
      </c>
      <c r="Y269" s="2" t="s">
        <v>53</v>
      </c>
      <c r="Z269" s="3">
        <v>5.0</v>
      </c>
      <c r="AA269" s="2" t="s">
        <v>180</v>
      </c>
      <c r="AB269" s="3">
        <v>10.0</v>
      </c>
      <c r="AC269" s="3">
        <v>10.0</v>
      </c>
      <c r="AD269" s="7">
        <v>1.0</v>
      </c>
      <c r="AE269" s="3">
        <v>20.0</v>
      </c>
      <c r="AF269" s="3">
        <v>2.0</v>
      </c>
      <c r="AG269" s="3">
        <v>0.0</v>
      </c>
      <c r="AH269" s="3">
        <v>2.0</v>
      </c>
      <c r="AI269" s="3">
        <v>0.0</v>
      </c>
      <c r="AJ269" s="3">
        <v>0.0</v>
      </c>
      <c r="AK269" s="3">
        <v>2.0</v>
      </c>
    </row>
    <row r="270">
      <c r="A270" s="2" t="s">
        <v>37</v>
      </c>
      <c r="B270" s="3">
        <v>39797.0</v>
      </c>
      <c r="C270" s="3" t="s">
        <v>165</v>
      </c>
      <c r="D270" s="3" t="s">
        <v>38</v>
      </c>
      <c r="E270" s="2" t="s">
        <v>39</v>
      </c>
      <c r="F270" s="3">
        <v>75505.0</v>
      </c>
      <c r="G270" s="2" t="s">
        <v>970</v>
      </c>
      <c r="H270" s="5">
        <v>45511.64628472222</v>
      </c>
      <c r="I270" s="2" t="s">
        <v>971</v>
      </c>
      <c r="J270" s="2" t="s">
        <v>42</v>
      </c>
      <c r="K270" s="2" t="s">
        <v>43</v>
      </c>
      <c r="L270" s="2" t="s">
        <v>44</v>
      </c>
      <c r="M270" s="2" t="s">
        <v>111</v>
      </c>
      <c r="N270" s="2" t="s">
        <v>972</v>
      </c>
      <c r="O270" s="2" t="s">
        <v>973</v>
      </c>
      <c r="P270" s="4">
        <v>46056.0</v>
      </c>
      <c r="Q270" s="3" t="s">
        <v>974</v>
      </c>
      <c r="R270" s="3">
        <v>1061.0</v>
      </c>
      <c r="S270" s="2" t="s">
        <v>170</v>
      </c>
      <c r="T270" s="2" t="s">
        <v>43</v>
      </c>
      <c r="U270" s="2" t="s">
        <v>171</v>
      </c>
      <c r="V270" s="2" t="s">
        <v>150</v>
      </c>
      <c r="W270" s="2" t="s">
        <v>51</v>
      </c>
      <c r="X270" s="2" t="s">
        <v>172</v>
      </c>
      <c r="Y270" s="2" t="s">
        <v>53</v>
      </c>
      <c r="Z270" s="3">
        <v>5.0</v>
      </c>
      <c r="AA270" s="2" t="s">
        <v>54</v>
      </c>
      <c r="AB270" s="3">
        <v>34.0</v>
      </c>
      <c r="AC270" s="3">
        <v>34.0</v>
      </c>
      <c r="AD270" s="7">
        <v>0.951</v>
      </c>
      <c r="AE270" s="3">
        <v>194.0</v>
      </c>
      <c r="AF270" s="3">
        <v>6.0</v>
      </c>
      <c r="AG270" s="3">
        <v>0.0</v>
      </c>
      <c r="AH270" s="3">
        <v>0.0</v>
      </c>
      <c r="AI270" s="3">
        <v>6.0</v>
      </c>
      <c r="AJ270" s="3">
        <v>0.0</v>
      </c>
      <c r="AK270" s="3">
        <v>6.0</v>
      </c>
    </row>
    <row r="271">
      <c r="A271" s="2" t="s">
        <v>37</v>
      </c>
      <c r="B271" s="3">
        <v>38856.0</v>
      </c>
      <c r="C271" s="3" t="s">
        <v>106</v>
      </c>
      <c r="D271" s="3" t="s">
        <v>38</v>
      </c>
      <c r="E271" s="2" t="s">
        <v>39</v>
      </c>
      <c r="F271" s="3">
        <v>82311.0</v>
      </c>
      <c r="G271" s="2" t="s">
        <v>975</v>
      </c>
      <c r="H271" s="5">
        <v>45835.4771875</v>
      </c>
      <c r="I271" s="2" t="s">
        <v>976</v>
      </c>
      <c r="J271" s="2" t="s">
        <v>42</v>
      </c>
      <c r="K271" s="2" t="s">
        <v>43</v>
      </c>
      <c r="L271" s="2" t="s">
        <v>44</v>
      </c>
      <c r="M271" s="2" t="s">
        <v>111</v>
      </c>
      <c r="N271" s="2" t="s">
        <v>977</v>
      </c>
      <c r="O271" s="2" t="s">
        <v>978</v>
      </c>
      <c r="P271" s="4">
        <v>46056.0</v>
      </c>
      <c r="Q271" s="4">
        <v>46298.0</v>
      </c>
      <c r="R271" s="3">
        <v>1706.0</v>
      </c>
      <c r="S271" s="2" t="s">
        <v>186</v>
      </c>
      <c r="T271" s="2" t="s">
        <v>110</v>
      </c>
      <c r="U271" s="2" t="s">
        <v>187</v>
      </c>
      <c r="V271" s="2" t="s">
        <v>116</v>
      </c>
      <c r="W271" s="2" t="s">
        <v>51</v>
      </c>
      <c r="X271" s="2" t="s">
        <v>117</v>
      </c>
      <c r="Y271" s="2" t="s">
        <v>53</v>
      </c>
      <c r="Z271" s="3">
        <v>7.0</v>
      </c>
      <c r="AA271" s="2" t="s">
        <v>54</v>
      </c>
      <c r="AB271" s="3">
        <v>34.0</v>
      </c>
      <c r="AC271" s="3">
        <v>34.0</v>
      </c>
      <c r="AD271" s="7">
        <v>0.9926</v>
      </c>
      <c r="AE271" s="3">
        <v>135.0</v>
      </c>
      <c r="AF271" s="3">
        <v>4.0</v>
      </c>
      <c r="AG271" s="3">
        <v>0.0</v>
      </c>
      <c r="AH271" s="3">
        <v>4.0</v>
      </c>
      <c r="AI271" s="3">
        <v>0.0</v>
      </c>
      <c r="AJ271" s="3">
        <v>0.0</v>
      </c>
      <c r="AK271" s="3">
        <v>4.0</v>
      </c>
    </row>
    <row r="272">
      <c r="A272" s="2" t="s">
        <v>37</v>
      </c>
      <c r="B272" s="3">
        <v>39106.0</v>
      </c>
      <c r="C272" s="3" t="s">
        <v>303</v>
      </c>
      <c r="D272" s="3" t="s">
        <v>38</v>
      </c>
      <c r="E272" s="2" t="s">
        <v>39</v>
      </c>
      <c r="F272" s="3">
        <v>85864.0</v>
      </c>
      <c r="G272" s="2" t="s">
        <v>979</v>
      </c>
      <c r="H272" s="5">
        <v>45916.99449074074</v>
      </c>
      <c r="I272" s="2" t="s">
        <v>57</v>
      </c>
      <c r="J272" s="2" t="s">
        <v>980</v>
      </c>
      <c r="K272" s="2" t="s">
        <v>110</v>
      </c>
      <c r="L272" s="2" t="s">
        <v>44</v>
      </c>
      <c r="M272" s="2" t="s">
        <v>111</v>
      </c>
      <c r="N272" s="2" t="s">
        <v>167</v>
      </c>
      <c r="O272" s="2" t="s">
        <v>981</v>
      </c>
      <c r="P272" s="4">
        <v>46145.0</v>
      </c>
      <c r="Q272" s="3" t="s">
        <v>194</v>
      </c>
      <c r="R272" s="3">
        <v>1707.0</v>
      </c>
      <c r="S272" s="2" t="s">
        <v>595</v>
      </c>
      <c r="T272" s="2" t="s">
        <v>110</v>
      </c>
      <c r="U272" s="2" t="s">
        <v>187</v>
      </c>
      <c r="V272" s="2" t="s">
        <v>116</v>
      </c>
      <c r="W272" s="2" t="s">
        <v>51</v>
      </c>
      <c r="X272" s="2" t="s">
        <v>117</v>
      </c>
      <c r="Y272" s="2" t="s">
        <v>53</v>
      </c>
      <c r="Z272" s="3">
        <v>7.0</v>
      </c>
      <c r="AA272" s="2" t="s">
        <v>54</v>
      </c>
      <c r="AB272" s="3">
        <v>17.0</v>
      </c>
      <c r="AC272" s="3">
        <v>17.0</v>
      </c>
      <c r="AD272" s="7">
        <v>0.9706</v>
      </c>
      <c r="AE272" s="3">
        <v>66.0</v>
      </c>
      <c r="AF272" s="3">
        <v>4.0</v>
      </c>
      <c r="AG272" s="3">
        <v>0.0</v>
      </c>
      <c r="AH272" s="3">
        <v>4.0</v>
      </c>
      <c r="AI272" s="3">
        <v>0.0</v>
      </c>
      <c r="AJ272" s="3">
        <v>0.0</v>
      </c>
      <c r="AK272" s="3">
        <v>4.0</v>
      </c>
    </row>
    <row r="273">
      <c r="A273" s="2" t="s">
        <v>37</v>
      </c>
      <c r="B273" s="3">
        <v>38824.0</v>
      </c>
      <c r="C273" s="3" t="s">
        <v>106</v>
      </c>
      <c r="D273" s="3" t="s">
        <v>38</v>
      </c>
      <c r="E273" s="2" t="s">
        <v>39</v>
      </c>
      <c r="F273" s="3">
        <v>86353.0</v>
      </c>
      <c r="G273" s="2" t="s">
        <v>982</v>
      </c>
      <c r="H273" s="5">
        <v>45938.72875</v>
      </c>
      <c r="I273" s="2" t="s">
        <v>108</v>
      </c>
      <c r="J273" s="2" t="s">
        <v>42</v>
      </c>
      <c r="K273" s="2" t="s">
        <v>43</v>
      </c>
      <c r="L273" s="2" t="s">
        <v>44</v>
      </c>
      <c r="M273" s="2" t="s">
        <v>111</v>
      </c>
      <c r="N273" s="2" t="s">
        <v>578</v>
      </c>
      <c r="O273" s="2" t="s">
        <v>983</v>
      </c>
      <c r="P273" s="4">
        <v>46084.0</v>
      </c>
      <c r="Q273" s="4">
        <v>46359.0</v>
      </c>
      <c r="R273" s="3">
        <v>1333.0</v>
      </c>
      <c r="S273" s="2" t="s">
        <v>894</v>
      </c>
      <c r="T273" s="2" t="s">
        <v>110</v>
      </c>
      <c r="U273" s="2" t="s">
        <v>115</v>
      </c>
      <c r="V273" s="2" t="s">
        <v>116</v>
      </c>
      <c r="W273" s="2" t="s">
        <v>51</v>
      </c>
      <c r="X273" s="2" t="s">
        <v>117</v>
      </c>
      <c r="Y273" s="2" t="s">
        <v>53</v>
      </c>
      <c r="Z273" s="3">
        <v>6.0</v>
      </c>
      <c r="AA273" s="2" t="s">
        <v>54</v>
      </c>
      <c r="AB273" s="3">
        <v>46.0</v>
      </c>
      <c r="AC273" s="3">
        <v>46.0</v>
      </c>
      <c r="AD273" s="7">
        <v>0.9783</v>
      </c>
      <c r="AE273" s="3">
        <v>180.0</v>
      </c>
      <c r="AF273" s="3">
        <v>4.0</v>
      </c>
      <c r="AG273" s="3">
        <v>0.0</v>
      </c>
      <c r="AH273" s="3">
        <v>4.0</v>
      </c>
      <c r="AI273" s="3">
        <v>0.0</v>
      </c>
      <c r="AJ273" s="3">
        <v>0.0</v>
      </c>
      <c r="AK273" s="3">
        <v>4.0</v>
      </c>
    </row>
    <row r="274">
      <c r="A274" s="2" t="s">
        <v>37</v>
      </c>
      <c r="B274" s="3">
        <v>39676.0</v>
      </c>
      <c r="C274" s="3" t="s">
        <v>520</v>
      </c>
      <c r="D274" s="3" t="s">
        <v>38</v>
      </c>
      <c r="E274" s="2" t="s">
        <v>39</v>
      </c>
      <c r="F274" s="3">
        <v>79933.0</v>
      </c>
      <c r="G274" s="2" t="s">
        <v>984</v>
      </c>
      <c r="H274" s="5">
        <v>45686.802407407406</v>
      </c>
      <c r="I274" s="2" t="s">
        <v>57</v>
      </c>
      <c r="J274" s="2" t="s">
        <v>42</v>
      </c>
      <c r="K274" s="2" t="s">
        <v>43</v>
      </c>
      <c r="L274" s="2" t="s">
        <v>44</v>
      </c>
      <c r="M274" s="2" t="s">
        <v>403</v>
      </c>
      <c r="N274" s="2" t="s">
        <v>413</v>
      </c>
      <c r="O274" s="2" t="s">
        <v>985</v>
      </c>
      <c r="P274" s="4">
        <v>46056.0</v>
      </c>
      <c r="Q274" s="3" t="s">
        <v>974</v>
      </c>
      <c r="R274" s="3">
        <v>2016.0</v>
      </c>
      <c r="S274" s="2" t="s">
        <v>793</v>
      </c>
      <c r="T274" s="2" t="s">
        <v>43</v>
      </c>
      <c r="U274" s="2" t="s">
        <v>794</v>
      </c>
      <c r="V274" s="2" t="s">
        <v>795</v>
      </c>
      <c r="W274" s="2" t="s">
        <v>51</v>
      </c>
      <c r="X274" s="2" t="s">
        <v>172</v>
      </c>
      <c r="Y274" s="2" t="s">
        <v>53</v>
      </c>
      <c r="Z274" s="3">
        <v>5.0</v>
      </c>
      <c r="AA274" s="2" t="s">
        <v>54</v>
      </c>
      <c r="AB274" s="3">
        <v>18.0</v>
      </c>
      <c r="AC274" s="3">
        <v>18.0</v>
      </c>
      <c r="AD274" s="7">
        <v>0.7222</v>
      </c>
      <c r="AE274" s="3">
        <v>78.0</v>
      </c>
      <c r="AF274" s="3">
        <v>6.0</v>
      </c>
      <c r="AG274" s="3">
        <v>0.0</v>
      </c>
      <c r="AH274" s="3">
        <v>6.0</v>
      </c>
      <c r="AI274" s="3">
        <v>0.0</v>
      </c>
      <c r="AJ274" s="3">
        <v>0.0</v>
      </c>
      <c r="AK274" s="3">
        <v>6.0</v>
      </c>
    </row>
    <row r="275">
      <c r="A275" s="2" t="s">
        <v>37</v>
      </c>
      <c r="B275" s="3">
        <v>39076.0</v>
      </c>
      <c r="C275" s="4">
        <v>45666.0</v>
      </c>
      <c r="D275" s="3" t="s">
        <v>38</v>
      </c>
      <c r="E275" s="2" t="s">
        <v>72</v>
      </c>
      <c r="F275" s="3">
        <v>76240.0</v>
      </c>
      <c r="G275" s="2" t="s">
        <v>986</v>
      </c>
      <c r="H275" s="5">
        <v>45533.58415509259</v>
      </c>
      <c r="I275" s="2" t="s">
        <v>423</v>
      </c>
      <c r="J275" s="2" t="s">
        <v>987</v>
      </c>
      <c r="K275" s="2" t="s">
        <v>43</v>
      </c>
      <c r="L275" s="2" t="s">
        <v>44</v>
      </c>
      <c r="M275" s="2" t="s">
        <v>111</v>
      </c>
      <c r="N275" s="2" t="s">
        <v>200</v>
      </c>
      <c r="O275" s="2" t="s">
        <v>988</v>
      </c>
      <c r="P275" s="4">
        <v>46056.0</v>
      </c>
      <c r="Q275" s="4">
        <v>46145.0</v>
      </c>
      <c r="R275" s="3">
        <v>2014.0</v>
      </c>
      <c r="S275" s="2" t="s">
        <v>841</v>
      </c>
      <c r="T275" s="2" t="s">
        <v>43</v>
      </c>
      <c r="U275" s="2" t="s">
        <v>250</v>
      </c>
      <c r="V275" s="2" t="s">
        <v>251</v>
      </c>
      <c r="W275" s="2" t="s">
        <v>51</v>
      </c>
      <c r="X275" s="2" t="s">
        <v>172</v>
      </c>
      <c r="Y275" s="2" t="s">
        <v>53</v>
      </c>
      <c r="Z275" s="3">
        <v>5.0</v>
      </c>
      <c r="AA275" s="2" t="s">
        <v>180</v>
      </c>
      <c r="AB275" s="3">
        <v>6.0</v>
      </c>
      <c r="AC275" s="3">
        <v>6.0</v>
      </c>
      <c r="AD275" s="7">
        <v>1.0</v>
      </c>
      <c r="AE275" s="3">
        <v>12.0</v>
      </c>
      <c r="AF275" s="3">
        <v>2.0</v>
      </c>
      <c r="AG275" s="3">
        <v>0.0</v>
      </c>
      <c r="AH275" s="3">
        <v>2.0</v>
      </c>
      <c r="AI275" s="3">
        <v>0.0</v>
      </c>
      <c r="AJ275" s="3">
        <v>0.0</v>
      </c>
      <c r="AK275" s="3">
        <v>2.0</v>
      </c>
    </row>
    <row r="276">
      <c r="A276" s="2" t="s">
        <v>37</v>
      </c>
      <c r="B276" s="3">
        <v>38844.0</v>
      </c>
      <c r="C276" s="3" t="s">
        <v>106</v>
      </c>
      <c r="D276" s="3" t="s">
        <v>38</v>
      </c>
      <c r="E276" s="2" t="s">
        <v>39</v>
      </c>
      <c r="F276" s="3">
        <v>45239.0</v>
      </c>
      <c r="G276" s="2" t="s">
        <v>989</v>
      </c>
      <c r="H276" s="5">
        <v>44208.134675925925</v>
      </c>
      <c r="I276" s="2" t="s">
        <v>990</v>
      </c>
      <c r="J276" s="2" t="s">
        <v>191</v>
      </c>
      <c r="K276" s="2" t="s">
        <v>110</v>
      </c>
      <c r="L276" s="2" t="s">
        <v>44</v>
      </c>
      <c r="M276" s="2" t="s">
        <v>991</v>
      </c>
      <c r="N276" s="2" t="s">
        <v>809</v>
      </c>
      <c r="O276" s="2" t="s">
        <v>992</v>
      </c>
      <c r="P276" s="4">
        <v>46056.0</v>
      </c>
      <c r="Q276" s="3" t="s">
        <v>92</v>
      </c>
      <c r="R276" s="3">
        <v>1339.0</v>
      </c>
      <c r="S276" s="2" t="s">
        <v>421</v>
      </c>
      <c r="T276" s="2" t="s">
        <v>110</v>
      </c>
      <c r="U276" s="2" t="s">
        <v>115</v>
      </c>
      <c r="V276" s="2" t="s">
        <v>116</v>
      </c>
      <c r="W276" s="2" t="s">
        <v>51</v>
      </c>
      <c r="X276" s="2" t="s">
        <v>117</v>
      </c>
      <c r="Y276" s="2" t="s">
        <v>53</v>
      </c>
      <c r="Z276" s="3">
        <v>6.0</v>
      </c>
      <c r="AA276" s="2" t="s">
        <v>54</v>
      </c>
      <c r="AB276" s="3">
        <v>30.0</v>
      </c>
      <c r="AC276" s="3">
        <v>30.0</v>
      </c>
      <c r="AD276" s="7">
        <v>0.8875</v>
      </c>
      <c r="AE276" s="3">
        <v>213.0</v>
      </c>
      <c r="AF276" s="3">
        <v>8.0</v>
      </c>
      <c r="AG276" s="3">
        <v>0.0</v>
      </c>
      <c r="AH276" s="3">
        <v>8.0</v>
      </c>
      <c r="AI276" s="3">
        <v>0.0</v>
      </c>
      <c r="AJ276" s="3">
        <v>0.0</v>
      </c>
      <c r="AK276" s="3">
        <v>8.0</v>
      </c>
    </row>
    <row r="277">
      <c r="A277" s="2" t="s">
        <v>37</v>
      </c>
      <c r="B277" s="3">
        <v>39866.0</v>
      </c>
      <c r="C277" s="8">
        <v>46003.0</v>
      </c>
      <c r="D277" s="3" t="s">
        <v>38</v>
      </c>
      <c r="E277" s="2" t="s">
        <v>39</v>
      </c>
      <c r="F277" s="3">
        <v>68827.0</v>
      </c>
      <c r="G277" s="2" t="s">
        <v>993</v>
      </c>
      <c r="H277" s="5">
        <v>45206.083703703705</v>
      </c>
      <c r="I277" s="2" t="s">
        <v>57</v>
      </c>
      <c r="J277" s="2" t="s">
        <v>42</v>
      </c>
      <c r="K277" s="2" t="s">
        <v>43</v>
      </c>
      <c r="L277" s="2" t="s">
        <v>44</v>
      </c>
      <c r="M277" s="2" t="s">
        <v>205</v>
      </c>
      <c r="N277" s="2" t="s">
        <v>356</v>
      </c>
      <c r="O277" s="2" t="s">
        <v>994</v>
      </c>
      <c r="P277" s="4">
        <v>46084.0</v>
      </c>
      <c r="Q277" s="3" t="s">
        <v>525</v>
      </c>
      <c r="R277" s="3">
        <v>2027.0</v>
      </c>
      <c r="S277" s="2" t="s">
        <v>526</v>
      </c>
      <c r="T277" s="2" t="s">
        <v>43</v>
      </c>
      <c r="U277" s="2" t="s">
        <v>527</v>
      </c>
      <c r="V277" s="2" t="s">
        <v>528</v>
      </c>
      <c r="W277" s="2" t="s">
        <v>51</v>
      </c>
      <c r="X277" s="2" t="s">
        <v>172</v>
      </c>
      <c r="Y277" s="2" t="s">
        <v>796</v>
      </c>
      <c r="Z277" s="3">
        <v>6.0</v>
      </c>
      <c r="AA277" s="2" t="s">
        <v>164</v>
      </c>
      <c r="AB277" s="3">
        <v>4.0</v>
      </c>
      <c r="AC277" s="3">
        <v>4.0</v>
      </c>
      <c r="AD277" s="7">
        <v>1.0</v>
      </c>
      <c r="AE277" s="3">
        <v>20.0</v>
      </c>
      <c r="AF277" s="3">
        <v>6.0</v>
      </c>
      <c r="AG277" s="3">
        <v>0.0</v>
      </c>
      <c r="AH277" s="3">
        <v>5.0</v>
      </c>
      <c r="AI277" s="3">
        <v>0.0</v>
      </c>
      <c r="AJ277" s="3">
        <v>1.0</v>
      </c>
      <c r="AK277" s="3">
        <v>5.0</v>
      </c>
    </row>
    <row r="278">
      <c r="A278" s="2" t="s">
        <v>37</v>
      </c>
      <c r="B278" s="3">
        <v>36837.0</v>
      </c>
      <c r="C278" s="3" t="s">
        <v>71</v>
      </c>
      <c r="D278" s="3" t="s">
        <v>38</v>
      </c>
      <c r="E278" s="2" t="s">
        <v>72</v>
      </c>
      <c r="F278" s="3">
        <v>42871.0</v>
      </c>
      <c r="G278" s="2" t="s">
        <v>995</v>
      </c>
      <c r="H278" s="5">
        <v>44117.87590277778</v>
      </c>
      <c r="I278" s="2" t="s">
        <v>57</v>
      </c>
      <c r="J278" s="2" t="s">
        <v>996</v>
      </c>
      <c r="K278" s="2" t="s">
        <v>997</v>
      </c>
      <c r="L278" s="2" t="s">
        <v>533</v>
      </c>
      <c r="M278" s="2" t="s">
        <v>327</v>
      </c>
      <c r="N278" s="2" t="s">
        <v>998</v>
      </c>
      <c r="O278" s="2" t="s">
        <v>999</v>
      </c>
      <c r="P278" s="4">
        <v>46084.0</v>
      </c>
      <c r="Q278" s="4">
        <v>46206.0</v>
      </c>
      <c r="R278" s="3">
        <v>1759.0</v>
      </c>
      <c r="S278" s="2" t="s">
        <v>124</v>
      </c>
      <c r="T278" s="2" t="s">
        <v>81</v>
      </c>
      <c r="U278" s="2" t="s">
        <v>82</v>
      </c>
      <c r="V278" s="2" t="s">
        <v>83</v>
      </c>
      <c r="W278" s="2" t="s">
        <v>68</v>
      </c>
      <c r="X278" s="2" t="s">
        <v>69</v>
      </c>
      <c r="Y278" s="2" t="s">
        <v>53</v>
      </c>
      <c r="Z278" s="3">
        <v>9.0</v>
      </c>
      <c r="AA278" s="2" t="s">
        <v>84</v>
      </c>
      <c r="AB278" s="3">
        <v>30.0</v>
      </c>
      <c r="AC278" s="3">
        <v>30.0</v>
      </c>
      <c r="AD278" s="7">
        <v>1.0</v>
      </c>
      <c r="AE278" s="3">
        <v>60.0</v>
      </c>
      <c r="AF278" s="3">
        <v>2.0</v>
      </c>
      <c r="AG278" s="3">
        <v>0.0</v>
      </c>
      <c r="AH278" s="3">
        <v>2.0</v>
      </c>
      <c r="AI278" s="3">
        <v>0.0</v>
      </c>
      <c r="AJ278" s="3">
        <v>0.0</v>
      </c>
      <c r="AK278" s="3">
        <v>2.0</v>
      </c>
    </row>
    <row r="279">
      <c r="A279" s="2" t="s">
        <v>37</v>
      </c>
      <c r="B279" s="3">
        <v>40184.0</v>
      </c>
      <c r="C279" s="3" t="s">
        <v>55</v>
      </c>
      <c r="D279" s="3" t="s">
        <v>38</v>
      </c>
      <c r="E279" s="2" t="s">
        <v>39</v>
      </c>
      <c r="F279" s="3">
        <v>88905.0</v>
      </c>
      <c r="G279" s="2" t="s">
        <v>1000</v>
      </c>
      <c r="H279" s="5">
        <v>46082.54666666667</v>
      </c>
      <c r="I279" s="2" t="s">
        <v>57</v>
      </c>
      <c r="J279" s="2" t="s">
        <v>42</v>
      </c>
      <c r="K279" s="2" t="s">
        <v>43</v>
      </c>
      <c r="L279" s="2" t="s">
        <v>44</v>
      </c>
      <c r="M279" s="2" t="s">
        <v>111</v>
      </c>
      <c r="N279" s="2" t="s">
        <v>1001</v>
      </c>
      <c r="O279" s="2" t="s">
        <v>1002</v>
      </c>
      <c r="P279" s="3" t="s">
        <v>194</v>
      </c>
      <c r="Q279" s="3" t="s">
        <v>63</v>
      </c>
      <c r="R279" s="3">
        <v>1784.0</v>
      </c>
      <c r="S279" s="2" t="s">
        <v>103</v>
      </c>
      <c r="T279" s="2" t="s">
        <v>65</v>
      </c>
      <c r="U279" s="2" t="s">
        <v>104</v>
      </c>
      <c r="V279" s="2" t="s">
        <v>67</v>
      </c>
      <c r="W279" s="2" t="s">
        <v>68</v>
      </c>
      <c r="X279" s="2" t="s">
        <v>69</v>
      </c>
      <c r="Y279" s="2" t="s">
        <v>53</v>
      </c>
      <c r="Z279" s="3">
        <v>8.0</v>
      </c>
      <c r="AA279" s="2" t="s">
        <v>70</v>
      </c>
      <c r="AB279" s="3">
        <v>110.0</v>
      </c>
      <c r="AC279" s="3">
        <v>110.0</v>
      </c>
      <c r="AD279" s="7">
        <v>0.8309</v>
      </c>
      <c r="AE279" s="3">
        <v>457.0</v>
      </c>
      <c r="AF279" s="3">
        <v>5.0</v>
      </c>
      <c r="AG279" s="3">
        <v>0.0</v>
      </c>
      <c r="AH279" s="3">
        <v>5.0</v>
      </c>
      <c r="AI279" s="3">
        <v>0.0</v>
      </c>
      <c r="AJ279" s="3">
        <v>0.0</v>
      </c>
      <c r="AK279" s="3">
        <v>5.0</v>
      </c>
    </row>
    <row r="280">
      <c r="A280" s="2" t="s">
        <v>37</v>
      </c>
      <c r="B280" s="3">
        <v>36971.0</v>
      </c>
      <c r="C280" s="4">
        <v>45782.0</v>
      </c>
      <c r="D280" s="3" t="s">
        <v>38</v>
      </c>
      <c r="E280" s="2" t="s">
        <v>72</v>
      </c>
      <c r="F280" s="3">
        <v>16231.0</v>
      </c>
      <c r="G280" s="2" t="s">
        <v>1003</v>
      </c>
      <c r="H280" s="5">
        <v>42917.08986111111</v>
      </c>
      <c r="I280" s="2" t="s">
        <v>41</v>
      </c>
      <c r="J280" s="2" t="s">
        <v>802</v>
      </c>
      <c r="K280" s="2" t="s">
        <v>226</v>
      </c>
      <c r="L280" s="2" t="s">
        <v>44</v>
      </c>
      <c r="M280" s="6"/>
      <c r="N280" s="6"/>
      <c r="O280" s="2" t="s">
        <v>1004</v>
      </c>
      <c r="P280" s="4">
        <v>46056.0</v>
      </c>
      <c r="Q280" s="4">
        <v>46056.0</v>
      </c>
      <c r="R280" s="3">
        <v>1760.0</v>
      </c>
      <c r="S280" s="2" t="s">
        <v>223</v>
      </c>
      <c r="T280" s="2" t="s">
        <v>81</v>
      </c>
      <c r="U280" s="2" t="s">
        <v>82</v>
      </c>
      <c r="V280" s="2" t="s">
        <v>83</v>
      </c>
      <c r="W280" s="2" t="s">
        <v>68</v>
      </c>
      <c r="X280" s="2" t="s">
        <v>69</v>
      </c>
      <c r="Y280" s="2" t="s">
        <v>53</v>
      </c>
      <c r="Z280" s="3">
        <v>6.0</v>
      </c>
      <c r="AA280" s="2" t="s">
        <v>180</v>
      </c>
      <c r="AB280" s="3">
        <v>24.0</v>
      </c>
      <c r="AC280" s="3">
        <v>24.0</v>
      </c>
      <c r="AD280" s="7">
        <v>0.7917</v>
      </c>
      <c r="AE280" s="3">
        <v>19.0</v>
      </c>
      <c r="AF280" s="3">
        <v>1.0</v>
      </c>
      <c r="AG280" s="3">
        <v>0.0</v>
      </c>
      <c r="AH280" s="3">
        <v>1.0</v>
      </c>
      <c r="AI280" s="3">
        <v>0.0</v>
      </c>
      <c r="AJ280" s="3">
        <v>0.0</v>
      </c>
      <c r="AK280" s="3">
        <v>1.0</v>
      </c>
    </row>
    <row r="281">
      <c r="A281" s="2" t="s">
        <v>37</v>
      </c>
      <c r="B281" s="3">
        <v>40199.0</v>
      </c>
      <c r="C281" s="3" t="s">
        <v>55</v>
      </c>
      <c r="D281" s="3" t="s">
        <v>38</v>
      </c>
      <c r="E281" s="2" t="s">
        <v>39</v>
      </c>
      <c r="F281" s="3">
        <v>88855.0</v>
      </c>
      <c r="G281" s="2" t="s">
        <v>1005</v>
      </c>
      <c r="H281" s="5">
        <v>46079.49087962963</v>
      </c>
      <c r="I281" s="2" t="s">
        <v>57</v>
      </c>
      <c r="J281" s="2" t="s">
        <v>1006</v>
      </c>
      <c r="K281" s="2" t="s">
        <v>513</v>
      </c>
      <c r="L281" s="2" t="s">
        <v>44</v>
      </c>
      <c r="M281" s="2" t="s">
        <v>60</v>
      </c>
      <c r="N281" s="2" t="s">
        <v>100</v>
      </c>
      <c r="O281" s="2" t="s">
        <v>1007</v>
      </c>
      <c r="P281" s="4">
        <v>46298.0</v>
      </c>
      <c r="Q281" s="3" t="s">
        <v>236</v>
      </c>
      <c r="R281" s="3">
        <v>1790.0</v>
      </c>
      <c r="S281" s="2" t="s">
        <v>289</v>
      </c>
      <c r="T281" s="2" t="s">
        <v>65</v>
      </c>
      <c r="U281" s="2" t="s">
        <v>66</v>
      </c>
      <c r="V281" s="2" t="s">
        <v>67</v>
      </c>
      <c r="W281" s="2" t="s">
        <v>68</v>
      </c>
      <c r="X281" s="2" t="s">
        <v>69</v>
      </c>
      <c r="Y281" s="2" t="s">
        <v>53</v>
      </c>
      <c r="Z281" s="3">
        <v>7.0</v>
      </c>
      <c r="AA281" s="2" t="s">
        <v>70</v>
      </c>
      <c r="AB281" s="3">
        <v>27.0</v>
      </c>
      <c r="AC281" s="3">
        <v>27.0</v>
      </c>
      <c r="AD281" s="7">
        <v>0.8704</v>
      </c>
      <c r="AE281" s="3">
        <v>94.0</v>
      </c>
      <c r="AF281" s="3">
        <v>4.0</v>
      </c>
      <c r="AG281" s="3">
        <v>0.0</v>
      </c>
      <c r="AH281" s="3">
        <v>4.0</v>
      </c>
      <c r="AI281" s="3">
        <v>0.0</v>
      </c>
      <c r="AJ281" s="3">
        <v>0.0</v>
      </c>
      <c r="AK281" s="3">
        <v>4.0</v>
      </c>
    </row>
    <row r="282">
      <c r="A282" s="2" t="s">
        <v>37</v>
      </c>
      <c r="B282" s="3">
        <v>38975.0</v>
      </c>
      <c r="C282" s="3" t="s">
        <v>211</v>
      </c>
      <c r="D282" s="5">
        <v>46112.99998842592</v>
      </c>
      <c r="E282" s="2" t="s">
        <v>39</v>
      </c>
      <c r="F282" s="3">
        <v>84936.0</v>
      </c>
      <c r="G282" s="2" t="s">
        <v>1008</v>
      </c>
      <c r="H282" s="5">
        <v>45888.51248842593</v>
      </c>
      <c r="I282" s="2" t="s">
        <v>57</v>
      </c>
      <c r="J282" s="2" t="s">
        <v>1009</v>
      </c>
      <c r="K282" s="2" t="s">
        <v>532</v>
      </c>
      <c r="L282" s="2" t="s">
        <v>533</v>
      </c>
      <c r="M282" s="2" t="s">
        <v>111</v>
      </c>
      <c r="N282" s="2" t="s">
        <v>157</v>
      </c>
      <c r="O282" s="2" t="s">
        <v>1010</v>
      </c>
      <c r="P282" s="4">
        <v>46329.0</v>
      </c>
      <c r="Q282" s="3" t="s">
        <v>147</v>
      </c>
      <c r="R282" s="3">
        <v>2002.0</v>
      </c>
      <c r="S282" s="2" t="s">
        <v>216</v>
      </c>
      <c r="T282" s="2" t="s">
        <v>88</v>
      </c>
      <c r="U282" s="2" t="s">
        <v>149</v>
      </c>
      <c r="V282" s="2" t="s">
        <v>150</v>
      </c>
      <c r="W282" s="2" t="s">
        <v>51</v>
      </c>
      <c r="X282" s="2" t="s">
        <v>96</v>
      </c>
      <c r="Y282" s="2" t="s">
        <v>53</v>
      </c>
      <c r="Z282" s="3">
        <v>6.0</v>
      </c>
      <c r="AA282" s="2" t="s">
        <v>54</v>
      </c>
      <c r="AB282" s="3">
        <v>10.0</v>
      </c>
      <c r="AC282" s="3">
        <v>10.0</v>
      </c>
      <c r="AD282" s="7">
        <v>0.75</v>
      </c>
      <c r="AE282" s="3">
        <v>30.0</v>
      </c>
      <c r="AF282" s="3">
        <v>4.0</v>
      </c>
      <c r="AG282" s="3">
        <v>0.0</v>
      </c>
      <c r="AH282" s="3">
        <v>4.0</v>
      </c>
      <c r="AI282" s="3">
        <v>0.0</v>
      </c>
      <c r="AJ282" s="3">
        <v>0.0</v>
      </c>
      <c r="AK282" s="3">
        <v>4.0</v>
      </c>
    </row>
    <row r="283">
      <c r="A283" s="2" t="s">
        <v>37</v>
      </c>
      <c r="B283" s="3">
        <v>36800.0</v>
      </c>
      <c r="C283" s="3" t="s">
        <v>71</v>
      </c>
      <c r="D283" s="3" t="s">
        <v>38</v>
      </c>
      <c r="E283" s="2" t="s">
        <v>72</v>
      </c>
      <c r="F283" s="3">
        <v>62811.0</v>
      </c>
      <c r="G283" s="2" t="s">
        <v>1011</v>
      </c>
      <c r="H283" s="5">
        <v>44998.35791666667</v>
      </c>
      <c r="I283" s="2" t="s">
        <v>57</v>
      </c>
      <c r="J283" s="2" t="s">
        <v>351</v>
      </c>
      <c r="K283" s="2" t="s">
        <v>88</v>
      </c>
      <c r="L283" s="2" t="s">
        <v>44</v>
      </c>
      <c r="M283" s="2" t="s">
        <v>89</v>
      </c>
      <c r="N283" s="2" t="s">
        <v>1012</v>
      </c>
      <c r="O283" s="2" t="s">
        <v>1013</v>
      </c>
      <c r="P283" s="4">
        <v>46084.0</v>
      </c>
      <c r="Q283" s="4">
        <v>46145.0</v>
      </c>
      <c r="R283" s="3">
        <v>1764.0</v>
      </c>
      <c r="S283" s="2" t="s">
        <v>300</v>
      </c>
      <c r="T283" s="2" t="s">
        <v>81</v>
      </c>
      <c r="U283" s="2" t="s">
        <v>301</v>
      </c>
      <c r="V283" s="2" t="s">
        <v>83</v>
      </c>
      <c r="W283" s="2" t="s">
        <v>68</v>
      </c>
      <c r="X283" s="2" t="s">
        <v>69</v>
      </c>
      <c r="Y283" s="2" t="s">
        <v>53</v>
      </c>
      <c r="Z283" s="3">
        <v>8.0</v>
      </c>
      <c r="AA283" s="2" t="s">
        <v>141</v>
      </c>
      <c r="AB283" s="3">
        <v>32.0</v>
      </c>
      <c r="AC283" s="3">
        <v>32.0</v>
      </c>
      <c r="AD283" s="7">
        <v>0.8594</v>
      </c>
      <c r="AE283" s="3">
        <v>55.0</v>
      </c>
      <c r="AF283" s="3">
        <v>2.0</v>
      </c>
      <c r="AG283" s="3">
        <v>0.0</v>
      </c>
      <c r="AH283" s="3">
        <v>2.0</v>
      </c>
      <c r="AI283" s="3">
        <v>0.0</v>
      </c>
      <c r="AJ283" s="3">
        <v>0.0</v>
      </c>
      <c r="AK283" s="3">
        <v>2.0</v>
      </c>
    </row>
    <row r="284">
      <c r="A284" s="2" t="s">
        <v>37</v>
      </c>
      <c r="B284" s="3">
        <v>36803.0</v>
      </c>
      <c r="C284" s="3" t="s">
        <v>71</v>
      </c>
      <c r="D284" s="3" t="s">
        <v>38</v>
      </c>
      <c r="E284" s="2" t="s">
        <v>72</v>
      </c>
      <c r="F284" s="3">
        <v>76441.0</v>
      </c>
      <c r="G284" s="2" t="s">
        <v>1014</v>
      </c>
      <c r="H284" s="5">
        <v>45543.396585648145</v>
      </c>
      <c r="I284" s="2" t="s">
        <v>57</v>
      </c>
      <c r="J284" s="2" t="s">
        <v>136</v>
      </c>
      <c r="K284" s="2" t="s">
        <v>65</v>
      </c>
      <c r="L284" s="2" t="s">
        <v>44</v>
      </c>
      <c r="M284" s="2" t="s">
        <v>99</v>
      </c>
      <c r="N284" s="2" t="s">
        <v>830</v>
      </c>
      <c r="O284" s="2" t="s">
        <v>1015</v>
      </c>
      <c r="P284" s="4">
        <v>46056.0</v>
      </c>
      <c r="Q284" s="4">
        <v>46056.0</v>
      </c>
      <c r="R284" s="3">
        <v>1765.0</v>
      </c>
      <c r="S284" s="2" t="s">
        <v>415</v>
      </c>
      <c r="T284" s="2" t="s">
        <v>81</v>
      </c>
      <c r="U284" s="2" t="s">
        <v>416</v>
      </c>
      <c r="V284" s="2" t="s">
        <v>83</v>
      </c>
      <c r="W284" s="2" t="s">
        <v>68</v>
      </c>
      <c r="X284" s="2" t="s">
        <v>69</v>
      </c>
      <c r="Y284" s="2" t="s">
        <v>53</v>
      </c>
      <c r="Z284" s="3">
        <v>7.0</v>
      </c>
      <c r="AA284" s="2" t="s">
        <v>141</v>
      </c>
      <c r="AB284" s="3">
        <v>31.0</v>
      </c>
      <c r="AC284" s="3">
        <v>31.0</v>
      </c>
      <c r="AD284" s="7">
        <v>1.0</v>
      </c>
      <c r="AE284" s="3">
        <v>31.0</v>
      </c>
      <c r="AF284" s="3">
        <v>1.0</v>
      </c>
      <c r="AG284" s="3">
        <v>0.0</v>
      </c>
      <c r="AH284" s="3">
        <v>0.0</v>
      </c>
      <c r="AI284" s="3">
        <v>1.0</v>
      </c>
      <c r="AJ284" s="3">
        <v>0.0</v>
      </c>
      <c r="AK284" s="3">
        <v>1.0</v>
      </c>
    </row>
    <row r="285">
      <c r="A285" s="2" t="s">
        <v>37</v>
      </c>
      <c r="B285" s="3">
        <v>40204.0</v>
      </c>
      <c r="C285" s="3" t="s">
        <v>55</v>
      </c>
      <c r="D285" s="3" t="s">
        <v>38</v>
      </c>
      <c r="E285" s="2" t="s">
        <v>39</v>
      </c>
      <c r="F285" s="3">
        <v>88455.0</v>
      </c>
      <c r="G285" s="2" t="s">
        <v>1016</v>
      </c>
      <c r="H285" s="5">
        <v>46055.50082175926</v>
      </c>
      <c r="I285" s="2" t="s">
        <v>57</v>
      </c>
      <c r="J285" s="2" t="s">
        <v>411</v>
      </c>
      <c r="K285" s="2" t="s">
        <v>411</v>
      </c>
      <c r="L285" s="2" t="s">
        <v>412</v>
      </c>
      <c r="M285" s="2" t="s">
        <v>364</v>
      </c>
      <c r="N285" s="2" t="s">
        <v>1017</v>
      </c>
      <c r="O285" s="2" t="s">
        <v>1018</v>
      </c>
      <c r="P285" s="4">
        <v>46176.0</v>
      </c>
      <c r="Q285" s="3" t="s">
        <v>63</v>
      </c>
      <c r="R285" s="3">
        <v>1785.0</v>
      </c>
      <c r="S285" s="2" t="s">
        <v>280</v>
      </c>
      <c r="T285" s="2" t="s">
        <v>65</v>
      </c>
      <c r="U285" s="2" t="s">
        <v>104</v>
      </c>
      <c r="V285" s="2" t="s">
        <v>67</v>
      </c>
      <c r="W285" s="2" t="s">
        <v>68</v>
      </c>
      <c r="X285" s="2" t="s">
        <v>69</v>
      </c>
      <c r="Y285" s="2" t="s">
        <v>53</v>
      </c>
      <c r="Z285" s="3">
        <v>7.0</v>
      </c>
      <c r="AA285" s="2" t="s">
        <v>70</v>
      </c>
      <c r="AB285" s="3">
        <v>34.0</v>
      </c>
      <c r="AC285" s="3">
        <v>34.0</v>
      </c>
      <c r="AD285" s="7">
        <v>0.8277</v>
      </c>
      <c r="AE285" s="3">
        <v>197.0</v>
      </c>
      <c r="AF285" s="3">
        <v>7.0</v>
      </c>
      <c r="AG285" s="3">
        <v>0.0</v>
      </c>
      <c r="AH285" s="3">
        <v>5.0</v>
      </c>
      <c r="AI285" s="3">
        <v>2.0</v>
      </c>
      <c r="AJ285" s="3">
        <v>0.0</v>
      </c>
      <c r="AK285" s="3">
        <v>7.0</v>
      </c>
    </row>
    <row r="286">
      <c r="A286" s="2" t="s">
        <v>37</v>
      </c>
      <c r="B286" s="3">
        <v>36804.0</v>
      </c>
      <c r="C286" s="3" t="s">
        <v>71</v>
      </c>
      <c r="D286" s="3" t="s">
        <v>38</v>
      </c>
      <c r="E286" s="2" t="s">
        <v>72</v>
      </c>
      <c r="F286" s="3">
        <v>77620.0</v>
      </c>
      <c r="G286" s="2" t="s">
        <v>1019</v>
      </c>
      <c r="H286" s="5">
        <v>45593.53989583333</v>
      </c>
      <c r="I286" s="2" t="s">
        <v>563</v>
      </c>
      <c r="J286" s="2" t="s">
        <v>1020</v>
      </c>
      <c r="K286" s="2" t="s">
        <v>226</v>
      </c>
      <c r="L286" s="2" t="s">
        <v>44</v>
      </c>
      <c r="M286" s="2" t="s">
        <v>111</v>
      </c>
      <c r="N286" s="2" t="s">
        <v>334</v>
      </c>
      <c r="O286" s="2" t="s">
        <v>1021</v>
      </c>
      <c r="P286" s="4">
        <v>46084.0</v>
      </c>
      <c r="Q286" s="4">
        <v>46145.0</v>
      </c>
      <c r="R286" s="3">
        <v>1765.0</v>
      </c>
      <c r="S286" s="2" t="s">
        <v>415</v>
      </c>
      <c r="T286" s="2" t="s">
        <v>81</v>
      </c>
      <c r="U286" s="2" t="s">
        <v>416</v>
      </c>
      <c r="V286" s="2" t="s">
        <v>83</v>
      </c>
      <c r="W286" s="2" t="s">
        <v>68</v>
      </c>
      <c r="X286" s="2" t="s">
        <v>69</v>
      </c>
      <c r="Y286" s="2" t="s">
        <v>53</v>
      </c>
      <c r="Z286" s="3">
        <v>8.0</v>
      </c>
      <c r="AA286" s="2" t="s">
        <v>141</v>
      </c>
      <c r="AB286" s="3">
        <v>26.0</v>
      </c>
      <c r="AC286" s="3">
        <v>26.0</v>
      </c>
      <c r="AD286" s="7">
        <v>1.0</v>
      </c>
      <c r="AE286" s="3">
        <v>52.0</v>
      </c>
      <c r="AF286" s="3">
        <v>2.0</v>
      </c>
      <c r="AG286" s="3">
        <v>0.0</v>
      </c>
      <c r="AH286" s="3">
        <v>1.0</v>
      </c>
      <c r="AI286" s="3">
        <v>1.0</v>
      </c>
      <c r="AJ286" s="3">
        <v>0.0</v>
      </c>
      <c r="AK286" s="3">
        <v>2.0</v>
      </c>
    </row>
    <row r="287">
      <c r="A287" s="2" t="s">
        <v>37</v>
      </c>
      <c r="B287" s="3">
        <v>38960.0</v>
      </c>
      <c r="C287" s="3" t="s">
        <v>211</v>
      </c>
      <c r="D287" s="5">
        <v>46112.99998842592</v>
      </c>
      <c r="E287" s="2" t="s">
        <v>39</v>
      </c>
      <c r="F287" s="3">
        <v>83698.0</v>
      </c>
      <c r="G287" s="2" t="s">
        <v>1022</v>
      </c>
      <c r="H287" s="5">
        <v>45854.40802083333</v>
      </c>
      <c r="I287" s="2" t="s">
        <v>108</v>
      </c>
      <c r="J287" s="2" t="s">
        <v>156</v>
      </c>
      <c r="K287" s="2" t="s">
        <v>59</v>
      </c>
      <c r="L287" s="2" t="s">
        <v>44</v>
      </c>
      <c r="M287" s="2" t="s">
        <v>111</v>
      </c>
      <c r="N287" s="2" t="s">
        <v>334</v>
      </c>
      <c r="O287" s="2" t="s">
        <v>1023</v>
      </c>
      <c r="P287" s="4">
        <v>46268.0</v>
      </c>
      <c r="Q287" s="3" t="s">
        <v>208</v>
      </c>
      <c r="R287" s="3">
        <v>1998.0</v>
      </c>
      <c r="S287" s="2" t="s">
        <v>583</v>
      </c>
      <c r="T287" s="2" t="s">
        <v>88</v>
      </c>
      <c r="U287" s="2" t="s">
        <v>149</v>
      </c>
      <c r="V287" s="2" t="s">
        <v>150</v>
      </c>
      <c r="W287" s="2" t="s">
        <v>51</v>
      </c>
      <c r="X287" s="2" t="s">
        <v>96</v>
      </c>
      <c r="Y287" s="2" t="s">
        <v>53</v>
      </c>
      <c r="Z287" s="3">
        <v>8.0</v>
      </c>
      <c r="AA287" s="2" t="s">
        <v>54</v>
      </c>
      <c r="AB287" s="3">
        <v>17.0</v>
      </c>
      <c r="AC287" s="3">
        <v>17.0</v>
      </c>
      <c r="AD287" s="7">
        <v>0.5441</v>
      </c>
      <c r="AE287" s="3">
        <v>37.0</v>
      </c>
      <c r="AF287" s="3">
        <v>4.0</v>
      </c>
      <c r="AG287" s="3">
        <v>0.0</v>
      </c>
      <c r="AH287" s="3">
        <v>2.0</v>
      </c>
      <c r="AI287" s="3">
        <v>2.0</v>
      </c>
      <c r="AJ287" s="3">
        <v>0.0</v>
      </c>
      <c r="AK287" s="3">
        <v>4.0</v>
      </c>
    </row>
    <row r="288">
      <c r="A288" s="2" t="s">
        <v>37</v>
      </c>
      <c r="B288" s="3">
        <v>36970.0</v>
      </c>
      <c r="C288" s="4">
        <v>45661.0</v>
      </c>
      <c r="D288" s="3" t="s">
        <v>38</v>
      </c>
      <c r="E288" s="2" t="s">
        <v>72</v>
      </c>
      <c r="F288" s="3">
        <v>73202.0</v>
      </c>
      <c r="G288" s="2" t="s">
        <v>1024</v>
      </c>
      <c r="H288" s="5">
        <v>45461.52699074074</v>
      </c>
      <c r="I288" s="2" t="s">
        <v>296</v>
      </c>
      <c r="J288" s="2" t="s">
        <v>735</v>
      </c>
      <c r="K288" s="2" t="s">
        <v>81</v>
      </c>
      <c r="L288" s="2" t="s">
        <v>44</v>
      </c>
      <c r="M288" s="2" t="s">
        <v>89</v>
      </c>
      <c r="N288" s="2" t="s">
        <v>298</v>
      </c>
      <c r="O288" s="2" t="s">
        <v>1025</v>
      </c>
      <c r="P288" s="4">
        <v>46176.0</v>
      </c>
      <c r="Q288" s="4">
        <v>46176.0</v>
      </c>
      <c r="R288" s="3">
        <v>1760.0</v>
      </c>
      <c r="S288" s="2" t="s">
        <v>223</v>
      </c>
      <c r="T288" s="2" t="s">
        <v>81</v>
      </c>
      <c r="U288" s="2" t="s">
        <v>82</v>
      </c>
      <c r="V288" s="2" t="s">
        <v>83</v>
      </c>
      <c r="W288" s="2" t="s">
        <v>68</v>
      </c>
      <c r="X288" s="2" t="s">
        <v>69</v>
      </c>
      <c r="Y288" s="2" t="s">
        <v>53</v>
      </c>
      <c r="Z288" s="3">
        <v>6.0</v>
      </c>
      <c r="AA288" s="2" t="s">
        <v>180</v>
      </c>
      <c r="AB288" s="3">
        <v>24.0</v>
      </c>
      <c r="AC288" s="3">
        <v>24.0</v>
      </c>
      <c r="AD288" s="7">
        <v>0.7083</v>
      </c>
      <c r="AE288" s="3">
        <v>17.0</v>
      </c>
      <c r="AF288" s="3">
        <v>1.0</v>
      </c>
      <c r="AG288" s="3">
        <v>0.0</v>
      </c>
      <c r="AH288" s="3">
        <v>1.0</v>
      </c>
      <c r="AI288" s="3">
        <v>0.0</v>
      </c>
      <c r="AJ288" s="3">
        <v>0.0</v>
      </c>
      <c r="AK288" s="3">
        <v>1.0</v>
      </c>
    </row>
    <row r="289">
      <c r="A289" s="2" t="s">
        <v>37</v>
      </c>
      <c r="B289" s="3">
        <v>36847.0</v>
      </c>
      <c r="C289" s="3" t="s">
        <v>71</v>
      </c>
      <c r="D289" s="3" t="s">
        <v>38</v>
      </c>
      <c r="E289" s="2" t="s">
        <v>72</v>
      </c>
      <c r="F289" s="3">
        <v>73202.0</v>
      </c>
      <c r="G289" s="2" t="s">
        <v>1024</v>
      </c>
      <c r="H289" s="5">
        <v>45461.52699074074</v>
      </c>
      <c r="I289" s="2" t="s">
        <v>296</v>
      </c>
      <c r="J289" s="2" t="s">
        <v>735</v>
      </c>
      <c r="K289" s="2" t="s">
        <v>81</v>
      </c>
      <c r="L289" s="2" t="s">
        <v>44</v>
      </c>
      <c r="M289" s="2" t="s">
        <v>89</v>
      </c>
      <c r="N289" s="2" t="s">
        <v>298</v>
      </c>
      <c r="O289" s="2" t="s">
        <v>1025</v>
      </c>
      <c r="P289" s="4">
        <v>46206.0</v>
      </c>
      <c r="Q289" s="4">
        <v>46206.0</v>
      </c>
      <c r="R289" s="3">
        <v>1760.0</v>
      </c>
      <c r="S289" s="2" t="s">
        <v>223</v>
      </c>
      <c r="T289" s="2" t="s">
        <v>81</v>
      </c>
      <c r="U289" s="2" t="s">
        <v>82</v>
      </c>
      <c r="V289" s="2" t="s">
        <v>83</v>
      </c>
      <c r="W289" s="2" t="s">
        <v>68</v>
      </c>
      <c r="X289" s="2" t="s">
        <v>69</v>
      </c>
      <c r="Y289" s="2" t="s">
        <v>53</v>
      </c>
      <c r="Z289" s="3">
        <v>9.0</v>
      </c>
      <c r="AA289" s="2" t="s">
        <v>84</v>
      </c>
      <c r="AB289" s="3">
        <v>18.0</v>
      </c>
      <c r="AC289" s="3">
        <v>18.0</v>
      </c>
      <c r="AD289" s="7">
        <v>0.8889</v>
      </c>
      <c r="AE289" s="3">
        <v>16.0</v>
      </c>
      <c r="AF289" s="3">
        <v>1.0</v>
      </c>
      <c r="AG289" s="3">
        <v>0.0</v>
      </c>
      <c r="AH289" s="3">
        <v>1.0</v>
      </c>
      <c r="AI289" s="3">
        <v>0.0</v>
      </c>
      <c r="AJ289" s="3">
        <v>0.0</v>
      </c>
      <c r="AK289" s="3">
        <v>1.0</v>
      </c>
    </row>
    <row r="290">
      <c r="A290" s="2" t="s">
        <v>37</v>
      </c>
      <c r="B290" s="3">
        <v>36858.0</v>
      </c>
      <c r="C290" s="3" t="s">
        <v>302</v>
      </c>
      <c r="D290" s="3" t="s">
        <v>38</v>
      </c>
      <c r="E290" s="2" t="s">
        <v>72</v>
      </c>
      <c r="F290" s="3">
        <v>73202.0</v>
      </c>
      <c r="G290" s="2" t="s">
        <v>1024</v>
      </c>
      <c r="H290" s="5">
        <v>45461.52699074074</v>
      </c>
      <c r="I290" s="2" t="s">
        <v>296</v>
      </c>
      <c r="J290" s="2" t="s">
        <v>735</v>
      </c>
      <c r="K290" s="2" t="s">
        <v>81</v>
      </c>
      <c r="L290" s="2" t="s">
        <v>44</v>
      </c>
      <c r="M290" s="2" t="s">
        <v>89</v>
      </c>
      <c r="N290" s="2" t="s">
        <v>298</v>
      </c>
      <c r="O290" s="2" t="s">
        <v>1025</v>
      </c>
      <c r="P290" s="4">
        <v>46176.0</v>
      </c>
      <c r="Q290" s="4">
        <v>46176.0</v>
      </c>
      <c r="R290" s="3">
        <v>1760.0</v>
      </c>
      <c r="S290" s="2" t="s">
        <v>223</v>
      </c>
      <c r="T290" s="2" t="s">
        <v>81</v>
      </c>
      <c r="U290" s="2" t="s">
        <v>82</v>
      </c>
      <c r="V290" s="2" t="s">
        <v>83</v>
      </c>
      <c r="W290" s="2" t="s">
        <v>68</v>
      </c>
      <c r="X290" s="2" t="s">
        <v>69</v>
      </c>
      <c r="Y290" s="2" t="s">
        <v>53</v>
      </c>
      <c r="Z290" s="3">
        <v>7.0</v>
      </c>
      <c r="AA290" s="2" t="s">
        <v>141</v>
      </c>
      <c r="AB290" s="3">
        <v>23.0</v>
      </c>
      <c r="AC290" s="3">
        <v>23.0</v>
      </c>
      <c r="AD290" s="7">
        <v>0.8696</v>
      </c>
      <c r="AE290" s="3">
        <v>20.0</v>
      </c>
      <c r="AF290" s="3">
        <v>1.0</v>
      </c>
      <c r="AG290" s="3">
        <v>0.0</v>
      </c>
      <c r="AH290" s="3">
        <v>1.0</v>
      </c>
      <c r="AI290" s="3">
        <v>0.0</v>
      </c>
      <c r="AJ290" s="3">
        <v>0.0</v>
      </c>
      <c r="AK290" s="3">
        <v>1.0</v>
      </c>
    </row>
    <row r="291">
      <c r="A291" s="2" t="s">
        <v>37</v>
      </c>
      <c r="B291" s="3">
        <v>36861.0</v>
      </c>
      <c r="C291" s="3" t="s">
        <v>302</v>
      </c>
      <c r="D291" s="3" t="s">
        <v>38</v>
      </c>
      <c r="E291" s="2" t="s">
        <v>72</v>
      </c>
      <c r="F291" s="3">
        <v>73202.0</v>
      </c>
      <c r="G291" s="2" t="s">
        <v>1024</v>
      </c>
      <c r="H291" s="5">
        <v>45461.52699074074</v>
      </c>
      <c r="I291" s="2" t="s">
        <v>296</v>
      </c>
      <c r="J291" s="2" t="s">
        <v>735</v>
      </c>
      <c r="K291" s="2" t="s">
        <v>81</v>
      </c>
      <c r="L291" s="2" t="s">
        <v>44</v>
      </c>
      <c r="M291" s="2" t="s">
        <v>89</v>
      </c>
      <c r="N291" s="2" t="s">
        <v>298</v>
      </c>
      <c r="O291" s="2" t="s">
        <v>1025</v>
      </c>
      <c r="P291" s="4">
        <v>46206.0</v>
      </c>
      <c r="Q291" s="4">
        <v>46206.0</v>
      </c>
      <c r="R291" s="3">
        <v>1760.0</v>
      </c>
      <c r="S291" s="2" t="s">
        <v>223</v>
      </c>
      <c r="T291" s="2" t="s">
        <v>81</v>
      </c>
      <c r="U291" s="2" t="s">
        <v>82</v>
      </c>
      <c r="V291" s="2" t="s">
        <v>83</v>
      </c>
      <c r="W291" s="2" t="s">
        <v>68</v>
      </c>
      <c r="X291" s="2" t="s">
        <v>69</v>
      </c>
      <c r="Y291" s="2" t="s">
        <v>53</v>
      </c>
      <c r="Z291" s="3">
        <v>8.0</v>
      </c>
      <c r="AA291" s="2" t="s">
        <v>141</v>
      </c>
      <c r="AB291" s="3">
        <v>36.0</v>
      </c>
      <c r="AC291" s="3">
        <v>36.0</v>
      </c>
      <c r="AD291" s="7">
        <v>0.8889</v>
      </c>
      <c r="AE291" s="3">
        <v>32.0</v>
      </c>
      <c r="AF291" s="3">
        <v>1.0</v>
      </c>
      <c r="AG291" s="3">
        <v>0.0</v>
      </c>
      <c r="AH291" s="3">
        <v>1.0</v>
      </c>
      <c r="AI291" s="3">
        <v>0.0</v>
      </c>
      <c r="AJ291" s="3">
        <v>0.0</v>
      </c>
      <c r="AK291" s="3">
        <v>1.0</v>
      </c>
    </row>
    <row r="292">
      <c r="A292" s="2" t="s">
        <v>37</v>
      </c>
      <c r="B292" s="3">
        <v>37095.0</v>
      </c>
      <c r="C292" s="4">
        <v>45784.0</v>
      </c>
      <c r="D292" s="3" t="s">
        <v>38</v>
      </c>
      <c r="E292" s="2" t="s">
        <v>39</v>
      </c>
      <c r="F292" s="3">
        <v>79230.0</v>
      </c>
      <c r="G292" s="2" t="s">
        <v>1026</v>
      </c>
      <c r="H292" s="5">
        <v>45646.59134259259</v>
      </c>
      <c r="I292" s="2" t="s">
        <v>752</v>
      </c>
      <c r="J292" s="2" t="s">
        <v>127</v>
      </c>
      <c r="K292" s="2" t="s">
        <v>128</v>
      </c>
      <c r="L292" s="2" t="s">
        <v>44</v>
      </c>
      <c r="M292" s="2" t="s">
        <v>403</v>
      </c>
      <c r="N292" s="2" t="s">
        <v>1027</v>
      </c>
      <c r="O292" s="2" t="s">
        <v>1028</v>
      </c>
      <c r="P292" s="4">
        <v>46176.0</v>
      </c>
      <c r="Q292" s="4">
        <v>46176.0</v>
      </c>
      <c r="R292" s="3">
        <v>1859.0</v>
      </c>
      <c r="S292" s="2" t="s">
        <v>340</v>
      </c>
      <c r="T292" s="2" t="s">
        <v>48</v>
      </c>
      <c r="U292" s="2" t="s">
        <v>341</v>
      </c>
      <c r="V292" s="2" t="s">
        <v>50</v>
      </c>
      <c r="W292" s="2" t="s">
        <v>51</v>
      </c>
      <c r="X292" s="2" t="s">
        <v>52</v>
      </c>
      <c r="Y292" s="2" t="s">
        <v>53</v>
      </c>
      <c r="Z292" s="3">
        <v>8.0</v>
      </c>
      <c r="AA292" s="2" t="s">
        <v>164</v>
      </c>
      <c r="AB292" s="3">
        <v>42.0</v>
      </c>
      <c r="AC292" s="3">
        <v>42.0</v>
      </c>
      <c r="AD292" s="7">
        <v>0.881</v>
      </c>
      <c r="AE292" s="3">
        <v>37.0</v>
      </c>
      <c r="AF292" s="3">
        <v>1.0</v>
      </c>
      <c r="AG292" s="3">
        <v>0.0</v>
      </c>
      <c r="AH292" s="3">
        <v>1.0</v>
      </c>
      <c r="AI292" s="3">
        <v>0.0</v>
      </c>
      <c r="AJ292" s="3">
        <v>0.0</v>
      </c>
      <c r="AK292" s="3">
        <v>1.0</v>
      </c>
    </row>
    <row r="293">
      <c r="A293" s="2" t="s">
        <v>37</v>
      </c>
      <c r="B293" s="3">
        <v>38851.0</v>
      </c>
      <c r="C293" s="3" t="s">
        <v>106</v>
      </c>
      <c r="D293" s="3" t="s">
        <v>38</v>
      </c>
      <c r="E293" s="2" t="s">
        <v>39</v>
      </c>
      <c r="F293" s="3">
        <v>83426.0</v>
      </c>
      <c r="G293" s="2" t="s">
        <v>1029</v>
      </c>
      <c r="H293" s="5">
        <v>45853.652395833335</v>
      </c>
      <c r="I293" s="2" t="s">
        <v>108</v>
      </c>
      <c r="J293" s="2" t="s">
        <v>191</v>
      </c>
      <c r="K293" s="2" t="s">
        <v>110</v>
      </c>
      <c r="L293" s="2" t="s">
        <v>44</v>
      </c>
      <c r="M293" s="2" t="s">
        <v>111</v>
      </c>
      <c r="N293" s="2" t="s">
        <v>323</v>
      </c>
      <c r="O293" s="2" t="s">
        <v>1030</v>
      </c>
      <c r="P293" s="4">
        <v>46145.0</v>
      </c>
      <c r="Q293" s="3" t="s">
        <v>393</v>
      </c>
      <c r="R293" s="3">
        <v>1702.0</v>
      </c>
      <c r="S293" s="2" t="s">
        <v>244</v>
      </c>
      <c r="T293" s="2" t="s">
        <v>110</v>
      </c>
      <c r="U293" s="2" t="s">
        <v>187</v>
      </c>
      <c r="V293" s="2" t="s">
        <v>116</v>
      </c>
      <c r="W293" s="2" t="s">
        <v>51</v>
      </c>
      <c r="X293" s="2" t="s">
        <v>117</v>
      </c>
      <c r="Y293" s="2" t="s">
        <v>188</v>
      </c>
      <c r="Z293" s="3">
        <v>7.0</v>
      </c>
      <c r="AA293" s="2" t="s">
        <v>164</v>
      </c>
      <c r="AB293" s="3">
        <v>18.0</v>
      </c>
      <c r="AC293" s="3">
        <v>8.0</v>
      </c>
      <c r="AD293" s="7">
        <v>1.0</v>
      </c>
      <c r="AE293" s="3">
        <v>64.0</v>
      </c>
      <c r="AF293" s="3">
        <v>8.0</v>
      </c>
      <c r="AG293" s="3">
        <v>0.0</v>
      </c>
      <c r="AH293" s="3">
        <v>8.0</v>
      </c>
      <c r="AI293" s="3">
        <v>0.0</v>
      </c>
      <c r="AJ293" s="3">
        <v>0.0</v>
      </c>
      <c r="AK293" s="3">
        <v>8.0</v>
      </c>
    </row>
    <row r="294">
      <c r="A294" s="2" t="s">
        <v>37</v>
      </c>
      <c r="B294" s="3">
        <v>38992.0</v>
      </c>
      <c r="C294" s="3" t="s">
        <v>142</v>
      </c>
      <c r="D294" s="5">
        <v>46112.99998842592</v>
      </c>
      <c r="E294" s="2" t="s">
        <v>39</v>
      </c>
      <c r="F294" s="3">
        <v>83040.0</v>
      </c>
      <c r="G294" s="2" t="s">
        <v>1031</v>
      </c>
      <c r="H294" s="5">
        <v>45847.61037037037</v>
      </c>
      <c r="I294" s="2" t="s">
        <v>278</v>
      </c>
      <c r="J294" s="2" t="s">
        <v>204</v>
      </c>
      <c r="K294" s="2" t="s">
        <v>88</v>
      </c>
      <c r="L294" s="2" t="s">
        <v>44</v>
      </c>
      <c r="M294" s="2" t="s">
        <v>111</v>
      </c>
      <c r="N294" s="2" t="s">
        <v>90</v>
      </c>
      <c r="O294" s="2" t="s">
        <v>1032</v>
      </c>
      <c r="P294" s="4">
        <v>46359.0</v>
      </c>
      <c r="Q294" s="3" t="s">
        <v>229</v>
      </c>
      <c r="R294" s="3">
        <v>1997.0</v>
      </c>
      <c r="S294" s="2" t="s">
        <v>148</v>
      </c>
      <c r="T294" s="2" t="s">
        <v>88</v>
      </c>
      <c r="U294" s="2" t="s">
        <v>149</v>
      </c>
      <c r="V294" s="2" t="s">
        <v>150</v>
      </c>
      <c r="W294" s="2" t="s">
        <v>51</v>
      </c>
      <c r="X294" s="2" t="s">
        <v>96</v>
      </c>
      <c r="Y294" s="2" t="s">
        <v>53</v>
      </c>
      <c r="Z294" s="3">
        <v>7.0</v>
      </c>
      <c r="AA294" s="2" t="s">
        <v>54</v>
      </c>
      <c r="AB294" s="3">
        <v>50.0</v>
      </c>
      <c r="AC294" s="3">
        <v>50.0</v>
      </c>
      <c r="AD294" s="7">
        <v>0.45</v>
      </c>
      <c r="AE294" s="3">
        <v>45.0</v>
      </c>
      <c r="AF294" s="3">
        <v>2.0</v>
      </c>
      <c r="AG294" s="3">
        <v>0.0</v>
      </c>
      <c r="AH294" s="3">
        <v>1.0</v>
      </c>
      <c r="AI294" s="3">
        <v>1.0</v>
      </c>
      <c r="AJ294" s="3">
        <v>0.0</v>
      </c>
      <c r="AK294" s="3">
        <v>2.0</v>
      </c>
    </row>
    <row r="295">
      <c r="A295" s="2" t="s">
        <v>37</v>
      </c>
      <c r="B295" s="3">
        <v>37048.0</v>
      </c>
      <c r="C295" s="3" t="s">
        <v>196</v>
      </c>
      <c r="D295" s="3" t="s">
        <v>38</v>
      </c>
      <c r="E295" s="2" t="s">
        <v>39</v>
      </c>
      <c r="F295" s="3">
        <v>71813.0</v>
      </c>
      <c r="G295" s="2" t="s">
        <v>1033</v>
      </c>
      <c r="H295" s="5">
        <v>45365.93246527778</v>
      </c>
      <c r="I295" s="2" t="s">
        <v>57</v>
      </c>
      <c r="J295" s="2" t="s">
        <v>1034</v>
      </c>
      <c r="K295" s="2" t="s">
        <v>226</v>
      </c>
      <c r="L295" s="2" t="s">
        <v>44</v>
      </c>
      <c r="M295" s="2" t="s">
        <v>60</v>
      </c>
      <c r="N295" s="2" t="s">
        <v>100</v>
      </c>
      <c r="O295" s="2" t="s">
        <v>1035</v>
      </c>
      <c r="P295" s="4">
        <v>46115.0</v>
      </c>
      <c r="Q295" s="4">
        <v>46359.0</v>
      </c>
      <c r="R295" s="3">
        <v>1696.0</v>
      </c>
      <c r="S295" s="2" t="s">
        <v>202</v>
      </c>
      <c r="T295" s="2" t="s">
        <v>48</v>
      </c>
      <c r="U295" s="2" t="s">
        <v>49</v>
      </c>
      <c r="V295" s="2" t="s">
        <v>50</v>
      </c>
      <c r="W295" s="2" t="s">
        <v>51</v>
      </c>
      <c r="X295" s="2" t="s">
        <v>52</v>
      </c>
      <c r="Y295" s="2" t="s">
        <v>53</v>
      </c>
      <c r="Z295" s="3">
        <v>8.0</v>
      </c>
      <c r="AA295" s="2" t="s">
        <v>164</v>
      </c>
      <c r="AB295" s="3">
        <v>13.0</v>
      </c>
      <c r="AC295" s="3">
        <v>13.0</v>
      </c>
      <c r="AD295" s="7">
        <v>0.9808</v>
      </c>
      <c r="AE295" s="3">
        <v>51.0</v>
      </c>
      <c r="AF295" s="3">
        <v>4.0</v>
      </c>
      <c r="AG295" s="3">
        <v>0.0</v>
      </c>
      <c r="AH295" s="3">
        <v>4.0</v>
      </c>
      <c r="AI295" s="3">
        <v>0.0</v>
      </c>
      <c r="AJ295" s="3">
        <v>0.0</v>
      </c>
      <c r="AK295" s="3">
        <v>4.0</v>
      </c>
    </row>
    <row r="296">
      <c r="A296" s="2" t="s">
        <v>37</v>
      </c>
      <c r="B296" s="3">
        <v>37034.0</v>
      </c>
      <c r="C296" s="3" t="s">
        <v>337</v>
      </c>
      <c r="D296" s="3" t="s">
        <v>38</v>
      </c>
      <c r="E296" s="2" t="s">
        <v>39</v>
      </c>
      <c r="F296" s="3">
        <v>80446.0</v>
      </c>
      <c r="G296" s="2" t="s">
        <v>1036</v>
      </c>
      <c r="H296" s="5">
        <v>45725.61292824074</v>
      </c>
      <c r="I296" s="2" t="s">
        <v>57</v>
      </c>
      <c r="J296" s="2" t="s">
        <v>127</v>
      </c>
      <c r="K296" s="2" t="s">
        <v>128</v>
      </c>
      <c r="L296" s="2" t="s">
        <v>44</v>
      </c>
      <c r="M296" s="2" t="s">
        <v>60</v>
      </c>
      <c r="N296" s="2" t="s">
        <v>1037</v>
      </c>
      <c r="O296" s="2" t="s">
        <v>1038</v>
      </c>
      <c r="P296" s="4">
        <v>46145.0</v>
      </c>
      <c r="Q296" s="4">
        <v>46359.0</v>
      </c>
      <c r="R296" s="3">
        <v>1697.0</v>
      </c>
      <c r="S296" s="2" t="s">
        <v>338</v>
      </c>
      <c r="T296" s="2" t="s">
        <v>48</v>
      </c>
      <c r="U296" s="2" t="s">
        <v>49</v>
      </c>
      <c r="V296" s="2" t="s">
        <v>50</v>
      </c>
      <c r="W296" s="2" t="s">
        <v>51</v>
      </c>
      <c r="X296" s="2" t="s">
        <v>52</v>
      </c>
      <c r="Y296" s="2" t="s">
        <v>53</v>
      </c>
      <c r="Z296" s="3">
        <v>8.0</v>
      </c>
      <c r="AA296" s="2" t="s">
        <v>318</v>
      </c>
      <c r="AB296" s="3">
        <v>12.0</v>
      </c>
      <c r="AC296" s="3">
        <v>11.0</v>
      </c>
      <c r="AD296" s="7">
        <v>0.9394</v>
      </c>
      <c r="AE296" s="3">
        <v>31.0</v>
      </c>
      <c r="AF296" s="3">
        <v>3.0</v>
      </c>
      <c r="AG296" s="3">
        <v>0.0</v>
      </c>
      <c r="AH296" s="3">
        <v>3.0</v>
      </c>
      <c r="AI296" s="3">
        <v>0.0</v>
      </c>
      <c r="AJ296" s="3">
        <v>0.0</v>
      </c>
      <c r="AK296" s="3">
        <v>3.0</v>
      </c>
    </row>
    <row r="297">
      <c r="A297" s="2" t="s">
        <v>37</v>
      </c>
      <c r="B297" s="3">
        <v>37027.0</v>
      </c>
      <c r="C297" s="3" t="s">
        <v>645</v>
      </c>
      <c r="D297" s="3" t="s">
        <v>38</v>
      </c>
      <c r="E297" s="2" t="s">
        <v>39</v>
      </c>
      <c r="F297" s="3">
        <v>24931.0</v>
      </c>
      <c r="G297" s="2" t="s">
        <v>1039</v>
      </c>
      <c r="H297" s="5">
        <v>43332.33118055556</v>
      </c>
      <c r="I297" s="2" t="s">
        <v>53</v>
      </c>
      <c r="J297" s="2" t="s">
        <v>127</v>
      </c>
      <c r="K297" s="2" t="s">
        <v>128</v>
      </c>
      <c r="L297" s="2" t="s">
        <v>44</v>
      </c>
      <c r="M297" s="6"/>
      <c r="N297" s="6"/>
      <c r="O297" s="2" t="s">
        <v>1040</v>
      </c>
      <c r="P297" s="4">
        <v>46056.0</v>
      </c>
      <c r="Q297" s="4">
        <v>46298.0</v>
      </c>
      <c r="R297" s="3">
        <v>1699.0</v>
      </c>
      <c r="S297" s="2" t="s">
        <v>343</v>
      </c>
      <c r="T297" s="2" t="s">
        <v>48</v>
      </c>
      <c r="U297" s="2" t="s">
        <v>49</v>
      </c>
      <c r="V297" s="2" t="s">
        <v>50</v>
      </c>
      <c r="W297" s="2" t="s">
        <v>51</v>
      </c>
      <c r="X297" s="2" t="s">
        <v>52</v>
      </c>
      <c r="Y297" s="2" t="s">
        <v>53</v>
      </c>
      <c r="Z297" s="3">
        <v>8.0</v>
      </c>
      <c r="AA297" s="2" t="s">
        <v>54</v>
      </c>
      <c r="AB297" s="3">
        <v>37.0</v>
      </c>
      <c r="AC297" s="3">
        <v>37.0</v>
      </c>
      <c r="AD297" s="7">
        <v>0.982</v>
      </c>
      <c r="AE297" s="3">
        <v>109.0</v>
      </c>
      <c r="AF297" s="3">
        <v>3.0</v>
      </c>
      <c r="AG297" s="3">
        <v>0.0</v>
      </c>
      <c r="AH297" s="3">
        <v>3.0</v>
      </c>
      <c r="AI297" s="3">
        <v>0.0</v>
      </c>
      <c r="AJ297" s="3">
        <v>0.0</v>
      </c>
      <c r="AK297" s="3">
        <v>3.0</v>
      </c>
    </row>
    <row r="298">
      <c r="A298" s="2" t="s">
        <v>37</v>
      </c>
      <c r="B298" s="3">
        <v>37071.0</v>
      </c>
      <c r="C298" s="3" t="s">
        <v>337</v>
      </c>
      <c r="D298" s="3" t="s">
        <v>38</v>
      </c>
      <c r="E298" s="2" t="s">
        <v>39</v>
      </c>
      <c r="F298" s="3">
        <v>68012.0</v>
      </c>
      <c r="G298" s="2" t="s">
        <v>1041</v>
      </c>
      <c r="H298" s="5">
        <v>45170.993263888886</v>
      </c>
      <c r="I298" s="2" t="s">
        <v>57</v>
      </c>
      <c r="J298" s="2" t="s">
        <v>191</v>
      </c>
      <c r="K298" s="2" t="s">
        <v>110</v>
      </c>
      <c r="L298" s="2" t="s">
        <v>44</v>
      </c>
      <c r="M298" s="2" t="s">
        <v>111</v>
      </c>
      <c r="N298" s="2" t="s">
        <v>496</v>
      </c>
      <c r="O298" s="2" t="s">
        <v>1042</v>
      </c>
      <c r="P298" s="4">
        <v>46176.0</v>
      </c>
      <c r="Q298" s="3" t="s">
        <v>194</v>
      </c>
      <c r="R298" s="3">
        <v>1697.0</v>
      </c>
      <c r="S298" s="2" t="s">
        <v>338</v>
      </c>
      <c r="T298" s="2" t="s">
        <v>48</v>
      </c>
      <c r="U298" s="2" t="s">
        <v>49</v>
      </c>
      <c r="V298" s="2" t="s">
        <v>50</v>
      </c>
      <c r="W298" s="2" t="s">
        <v>51</v>
      </c>
      <c r="X298" s="2" t="s">
        <v>52</v>
      </c>
      <c r="Y298" s="2" t="s">
        <v>1043</v>
      </c>
      <c r="Z298" s="3">
        <v>6.0</v>
      </c>
      <c r="AA298" s="2" t="s">
        <v>318</v>
      </c>
      <c r="AB298" s="3">
        <v>17.0</v>
      </c>
      <c r="AC298" s="3">
        <v>17.0</v>
      </c>
      <c r="AD298" s="7">
        <v>0.6078</v>
      </c>
      <c r="AE298" s="3">
        <v>31.0</v>
      </c>
      <c r="AF298" s="3">
        <v>3.0</v>
      </c>
      <c r="AG298" s="3">
        <v>0.0</v>
      </c>
      <c r="AH298" s="3">
        <v>1.0</v>
      </c>
      <c r="AI298" s="3">
        <v>2.0</v>
      </c>
      <c r="AJ298" s="3">
        <v>0.0</v>
      </c>
      <c r="AK298" s="3">
        <v>3.0</v>
      </c>
    </row>
    <row r="299">
      <c r="A299" s="2" t="s">
        <v>37</v>
      </c>
      <c r="B299" s="3">
        <v>38961.0</v>
      </c>
      <c r="C299" s="3" t="s">
        <v>211</v>
      </c>
      <c r="D299" s="5">
        <v>46112.99998842592</v>
      </c>
      <c r="E299" s="2" t="s">
        <v>39</v>
      </c>
      <c r="F299" s="3">
        <v>62704.0</v>
      </c>
      <c r="G299" s="2" t="s">
        <v>1044</v>
      </c>
      <c r="H299" s="5">
        <v>44990.175104166665</v>
      </c>
      <c r="I299" s="2" t="s">
        <v>57</v>
      </c>
      <c r="J299" s="2" t="s">
        <v>87</v>
      </c>
      <c r="K299" s="2" t="s">
        <v>88</v>
      </c>
      <c r="L299" s="2" t="s">
        <v>44</v>
      </c>
      <c r="M299" s="2" t="s">
        <v>183</v>
      </c>
      <c r="N299" s="2" t="s">
        <v>1045</v>
      </c>
      <c r="O299" s="2" t="s">
        <v>1046</v>
      </c>
      <c r="P299" s="4">
        <v>46329.0</v>
      </c>
      <c r="Q299" s="3" t="s">
        <v>147</v>
      </c>
      <c r="R299" s="3">
        <v>1998.0</v>
      </c>
      <c r="S299" s="2" t="s">
        <v>583</v>
      </c>
      <c r="T299" s="2" t="s">
        <v>88</v>
      </c>
      <c r="U299" s="2" t="s">
        <v>149</v>
      </c>
      <c r="V299" s="2" t="s">
        <v>150</v>
      </c>
      <c r="W299" s="2" t="s">
        <v>51</v>
      </c>
      <c r="X299" s="2" t="s">
        <v>96</v>
      </c>
      <c r="Y299" s="2" t="s">
        <v>210</v>
      </c>
      <c r="Z299" s="3">
        <v>8.0</v>
      </c>
      <c r="AA299" s="2" t="s">
        <v>164</v>
      </c>
      <c r="AB299" s="3">
        <v>17.0</v>
      </c>
      <c r="AC299" s="3">
        <v>17.0</v>
      </c>
      <c r="AD299" s="7">
        <v>0.7059</v>
      </c>
      <c r="AE299" s="3">
        <v>48.0</v>
      </c>
      <c r="AF299" s="3">
        <v>4.0</v>
      </c>
      <c r="AG299" s="3">
        <v>0.0</v>
      </c>
      <c r="AH299" s="3">
        <v>0.0</v>
      </c>
      <c r="AI299" s="3">
        <v>4.0</v>
      </c>
      <c r="AJ299" s="3">
        <v>0.0</v>
      </c>
      <c r="AK299" s="3">
        <v>4.0</v>
      </c>
    </row>
    <row r="300">
      <c r="A300" s="2" t="s">
        <v>37</v>
      </c>
      <c r="B300" s="3">
        <v>40206.0</v>
      </c>
      <c r="C300" s="3" t="s">
        <v>55</v>
      </c>
      <c r="D300" s="3" t="s">
        <v>38</v>
      </c>
      <c r="E300" s="2" t="s">
        <v>39</v>
      </c>
      <c r="F300" s="3">
        <v>88818.0</v>
      </c>
      <c r="G300" s="2" t="s">
        <v>1047</v>
      </c>
      <c r="H300" s="5">
        <v>46077.037824074076</v>
      </c>
      <c r="I300" s="2" t="s">
        <v>57</v>
      </c>
      <c r="J300" s="2" t="s">
        <v>275</v>
      </c>
      <c r="K300" s="2" t="s">
        <v>59</v>
      </c>
      <c r="L300" s="2" t="s">
        <v>44</v>
      </c>
      <c r="M300" s="2" t="s">
        <v>60</v>
      </c>
      <c r="N300" s="2" t="s">
        <v>100</v>
      </c>
      <c r="O300" s="2" t="s">
        <v>1048</v>
      </c>
      <c r="P300" s="3" t="s">
        <v>194</v>
      </c>
      <c r="Q300" s="3" t="s">
        <v>63</v>
      </c>
      <c r="R300" s="3">
        <v>1785.0</v>
      </c>
      <c r="S300" s="2" t="s">
        <v>280</v>
      </c>
      <c r="T300" s="2" t="s">
        <v>65</v>
      </c>
      <c r="U300" s="2" t="s">
        <v>104</v>
      </c>
      <c r="V300" s="2" t="s">
        <v>67</v>
      </c>
      <c r="W300" s="2" t="s">
        <v>68</v>
      </c>
      <c r="X300" s="2" t="s">
        <v>69</v>
      </c>
      <c r="Y300" s="2" t="s">
        <v>53</v>
      </c>
      <c r="Z300" s="3">
        <v>8.0</v>
      </c>
      <c r="AA300" s="2" t="s">
        <v>70</v>
      </c>
      <c r="AB300" s="3">
        <v>37.0</v>
      </c>
      <c r="AC300" s="3">
        <v>37.0</v>
      </c>
      <c r="AD300" s="7">
        <v>0.8541</v>
      </c>
      <c r="AE300" s="3">
        <v>158.0</v>
      </c>
      <c r="AF300" s="3">
        <v>5.0</v>
      </c>
      <c r="AG300" s="3">
        <v>0.0</v>
      </c>
      <c r="AH300" s="3">
        <v>5.0</v>
      </c>
      <c r="AI300" s="3">
        <v>0.0</v>
      </c>
      <c r="AJ300" s="3">
        <v>0.0</v>
      </c>
      <c r="AK300" s="3">
        <v>5.0</v>
      </c>
    </row>
    <row r="301">
      <c r="A301" s="2" t="s">
        <v>37</v>
      </c>
      <c r="B301" s="3">
        <v>40198.0</v>
      </c>
      <c r="C301" s="3" t="s">
        <v>55</v>
      </c>
      <c r="D301" s="3" t="s">
        <v>38</v>
      </c>
      <c r="E301" s="2" t="s">
        <v>39</v>
      </c>
      <c r="F301" s="3">
        <v>88647.0</v>
      </c>
      <c r="G301" s="2" t="s">
        <v>1049</v>
      </c>
      <c r="H301" s="5">
        <v>46067.80412037037</v>
      </c>
      <c r="I301" s="2" t="s">
        <v>98</v>
      </c>
      <c r="J301" s="2" t="s">
        <v>42</v>
      </c>
      <c r="K301" s="2" t="s">
        <v>43</v>
      </c>
      <c r="L301" s="2" t="s">
        <v>44</v>
      </c>
      <c r="M301" s="2" t="s">
        <v>60</v>
      </c>
      <c r="N301" s="2" t="s">
        <v>253</v>
      </c>
      <c r="O301" s="2" t="s">
        <v>1050</v>
      </c>
      <c r="P301" s="4">
        <v>46145.0</v>
      </c>
      <c r="Q301" s="3" t="s">
        <v>236</v>
      </c>
      <c r="R301" s="3">
        <v>1774.0</v>
      </c>
      <c r="S301" s="2" t="s">
        <v>131</v>
      </c>
      <c r="T301" s="2" t="s">
        <v>65</v>
      </c>
      <c r="U301" s="2" t="s">
        <v>104</v>
      </c>
      <c r="V301" s="2" t="s">
        <v>67</v>
      </c>
      <c r="W301" s="2" t="s">
        <v>68</v>
      </c>
      <c r="X301" s="2" t="s">
        <v>69</v>
      </c>
      <c r="Y301" s="2" t="s">
        <v>53</v>
      </c>
      <c r="Z301" s="3">
        <v>8.0</v>
      </c>
      <c r="AA301" s="2" t="s">
        <v>105</v>
      </c>
      <c r="AB301" s="3">
        <v>39.0</v>
      </c>
      <c r="AC301" s="3">
        <v>39.0</v>
      </c>
      <c r="AD301" s="7">
        <v>0.9128</v>
      </c>
      <c r="AE301" s="3">
        <v>178.0</v>
      </c>
      <c r="AF301" s="3">
        <v>5.0</v>
      </c>
      <c r="AG301" s="3">
        <v>0.0</v>
      </c>
      <c r="AH301" s="3">
        <v>4.0</v>
      </c>
      <c r="AI301" s="3">
        <v>1.0</v>
      </c>
      <c r="AJ301" s="3">
        <v>0.0</v>
      </c>
      <c r="AK301" s="3">
        <v>5.0</v>
      </c>
    </row>
    <row r="302">
      <c r="A302" s="2" t="s">
        <v>37</v>
      </c>
      <c r="B302" s="3">
        <v>38974.0</v>
      </c>
      <c r="C302" s="3" t="s">
        <v>211</v>
      </c>
      <c r="D302" s="5">
        <v>46112.99998842592</v>
      </c>
      <c r="E302" s="2" t="s">
        <v>39</v>
      </c>
      <c r="F302" s="3">
        <v>78506.0</v>
      </c>
      <c r="G302" s="2" t="s">
        <v>1051</v>
      </c>
      <c r="H302" s="5">
        <v>45622.90934027778</v>
      </c>
      <c r="I302" s="2" t="s">
        <v>274</v>
      </c>
      <c r="J302" s="2" t="s">
        <v>1052</v>
      </c>
      <c r="K302" s="2" t="s">
        <v>88</v>
      </c>
      <c r="L302" s="2" t="s">
        <v>44</v>
      </c>
      <c r="M302" s="2" t="s">
        <v>77</v>
      </c>
      <c r="N302" s="2" t="s">
        <v>1053</v>
      </c>
      <c r="O302" s="2" t="s">
        <v>1054</v>
      </c>
      <c r="P302" s="4">
        <v>46329.0</v>
      </c>
      <c r="Q302" s="3" t="s">
        <v>147</v>
      </c>
      <c r="R302" s="3">
        <v>1996.0</v>
      </c>
      <c r="S302" s="2" t="s">
        <v>329</v>
      </c>
      <c r="T302" s="2" t="s">
        <v>88</v>
      </c>
      <c r="U302" s="2" t="s">
        <v>149</v>
      </c>
      <c r="V302" s="2" t="s">
        <v>150</v>
      </c>
      <c r="W302" s="2" t="s">
        <v>51</v>
      </c>
      <c r="X302" s="2" t="s">
        <v>96</v>
      </c>
      <c r="Y302" s="2" t="s">
        <v>210</v>
      </c>
      <c r="Z302" s="3">
        <v>8.0</v>
      </c>
      <c r="AA302" s="2" t="s">
        <v>164</v>
      </c>
      <c r="AB302" s="3">
        <v>34.0</v>
      </c>
      <c r="AC302" s="3">
        <v>34.0</v>
      </c>
      <c r="AD302" s="7">
        <v>0.7941</v>
      </c>
      <c r="AE302" s="3">
        <v>108.0</v>
      </c>
      <c r="AF302" s="3">
        <v>5.0</v>
      </c>
      <c r="AG302" s="3">
        <v>0.0</v>
      </c>
      <c r="AH302" s="3">
        <v>4.0</v>
      </c>
      <c r="AI302" s="3">
        <v>0.0</v>
      </c>
      <c r="AJ302" s="3">
        <v>1.0</v>
      </c>
      <c r="AK302" s="3">
        <v>4.0</v>
      </c>
    </row>
    <row r="303">
      <c r="A303" s="2" t="s">
        <v>37</v>
      </c>
      <c r="B303" s="3">
        <v>39015.0</v>
      </c>
      <c r="C303" s="3" t="s">
        <v>142</v>
      </c>
      <c r="D303" s="5">
        <v>46112.99998842592</v>
      </c>
      <c r="E303" s="2" t="s">
        <v>39</v>
      </c>
      <c r="F303" s="3">
        <v>86907.0</v>
      </c>
      <c r="G303" s="2" t="s">
        <v>1055</v>
      </c>
      <c r="H303" s="5">
        <v>45978.45247685185</v>
      </c>
      <c r="I303" s="2" t="s">
        <v>57</v>
      </c>
      <c r="J303" s="2" t="s">
        <v>1052</v>
      </c>
      <c r="K303" s="2" t="s">
        <v>88</v>
      </c>
      <c r="L303" s="2" t="s">
        <v>44</v>
      </c>
      <c r="M303" s="2" t="s">
        <v>77</v>
      </c>
      <c r="N303" s="2" t="s">
        <v>1056</v>
      </c>
      <c r="O303" s="2" t="s">
        <v>1057</v>
      </c>
      <c r="P303" s="4">
        <v>46329.0</v>
      </c>
      <c r="Q303" s="3" t="s">
        <v>147</v>
      </c>
      <c r="R303" s="3">
        <v>1995.0</v>
      </c>
      <c r="S303" s="2" t="s">
        <v>372</v>
      </c>
      <c r="T303" s="2" t="s">
        <v>88</v>
      </c>
      <c r="U303" s="2" t="s">
        <v>149</v>
      </c>
      <c r="V303" s="2" t="s">
        <v>150</v>
      </c>
      <c r="W303" s="2" t="s">
        <v>51</v>
      </c>
      <c r="X303" s="2" t="s">
        <v>96</v>
      </c>
      <c r="Y303" s="2" t="s">
        <v>53</v>
      </c>
      <c r="Z303" s="3">
        <v>8.0</v>
      </c>
      <c r="AA303" s="2" t="s">
        <v>54</v>
      </c>
      <c r="AB303" s="3">
        <v>70.0</v>
      </c>
      <c r="AC303" s="3">
        <v>70.0</v>
      </c>
      <c r="AD303" s="7">
        <v>0.8357</v>
      </c>
      <c r="AE303" s="3">
        <v>234.0</v>
      </c>
      <c r="AF303" s="3">
        <v>4.0</v>
      </c>
      <c r="AG303" s="3">
        <v>0.0</v>
      </c>
      <c r="AH303" s="3">
        <v>4.0</v>
      </c>
      <c r="AI303" s="3">
        <v>0.0</v>
      </c>
      <c r="AJ303" s="3">
        <v>0.0</v>
      </c>
      <c r="AK303" s="3">
        <v>4.0</v>
      </c>
    </row>
    <row r="304">
      <c r="A304" s="2" t="s">
        <v>37</v>
      </c>
      <c r="B304" s="3">
        <v>40186.0</v>
      </c>
      <c r="C304" s="3" t="s">
        <v>55</v>
      </c>
      <c r="D304" s="3" t="s">
        <v>38</v>
      </c>
      <c r="E304" s="2" t="s">
        <v>39</v>
      </c>
      <c r="F304" s="3">
        <v>87331.0</v>
      </c>
      <c r="G304" s="2" t="s">
        <v>1058</v>
      </c>
      <c r="H304" s="5">
        <v>45997.70712962963</v>
      </c>
      <c r="I304" s="2" t="s">
        <v>57</v>
      </c>
      <c r="J304" s="2" t="s">
        <v>848</v>
      </c>
      <c r="K304" s="2" t="s">
        <v>286</v>
      </c>
      <c r="L304" s="2" t="s">
        <v>44</v>
      </c>
      <c r="M304" s="2" t="s">
        <v>60</v>
      </c>
      <c r="N304" s="2" t="s">
        <v>61</v>
      </c>
      <c r="O304" s="2" t="s">
        <v>1059</v>
      </c>
      <c r="P304" s="3" t="s">
        <v>194</v>
      </c>
      <c r="Q304" s="3" t="s">
        <v>63</v>
      </c>
      <c r="R304" s="3">
        <v>1784.0</v>
      </c>
      <c r="S304" s="2" t="s">
        <v>103</v>
      </c>
      <c r="T304" s="2" t="s">
        <v>65</v>
      </c>
      <c r="U304" s="2" t="s">
        <v>104</v>
      </c>
      <c r="V304" s="2" t="s">
        <v>67</v>
      </c>
      <c r="W304" s="2" t="s">
        <v>68</v>
      </c>
      <c r="X304" s="2" t="s">
        <v>69</v>
      </c>
      <c r="Y304" s="2" t="s">
        <v>53</v>
      </c>
      <c r="Z304" s="3">
        <v>7.0</v>
      </c>
      <c r="AA304" s="2" t="s">
        <v>70</v>
      </c>
      <c r="AB304" s="3">
        <v>111.0</v>
      </c>
      <c r="AC304" s="3">
        <v>111.0</v>
      </c>
      <c r="AD304" s="7">
        <v>1.0</v>
      </c>
      <c r="AE304" s="3">
        <v>555.0</v>
      </c>
      <c r="AF304" s="3">
        <v>5.0</v>
      </c>
      <c r="AG304" s="3">
        <v>0.0</v>
      </c>
      <c r="AH304" s="3">
        <v>5.0</v>
      </c>
      <c r="AI304" s="3">
        <v>0.0</v>
      </c>
      <c r="AJ304" s="3">
        <v>0.0</v>
      </c>
      <c r="AK304" s="3">
        <v>5.0</v>
      </c>
    </row>
    <row r="305">
      <c r="A305" s="2" t="s">
        <v>37</v>
      </c>
      <c r="B305" s="3">
        <v>40053.0</v>
      </c>
      <c r="C305" s="4">
        <v>46357.0</v>
      </c>
      <c r="D305" s="3" t="s">
        <v>38</v>
      </c>
      <c r="E305" s="2" t="s">
        <v>72</v>
      </c>
      <c r="F305" s="3">
        <v>87217.0</v>
      </c>
      <c r="G305" s="2" t="s">
        <v>1060</v>
      </c>
      <c r="H305" s="5">
        <v>45994.98385416667</v>
      </c>
      <c r="I305" s="2" t="s">
        <v>57</v>
      </c>
      <c r="J305" s="2" t="s">
        <v>42</v>
      </c>
      <c r="K305" s="2" t="s">
        <v>43</v>
      </c>
      <c r="L305" s="2" t="s">
        <v>44</v>
      </c>
      <c r="M305" s="2" t="s">
        <v>111</v>
      </c>
      <c r="N305" s="2" t="s">
        <v>1061</v>
      </c>
      <c r="O305" s="2" t="s">
        <v>1062</v>
      </c>
      <c r="P305" s="4">
        <v>46176.0</v>
      </c>
      <c r="Q305" s="3" t="s">
        <v>229</v>
      </c>
      <c r="R305" s="3">
        <v>2050.0</v>
      </c>
      <c r="S305" s="2" t="s">
        <v>655</v>
      </c>
      <c r="T305" s="2" t="s">
        <v>128</v>
      </c>
      <c r="U305" s="2" t="s">
        <v>316</v>
      </c>
      <c r="V305" s="2" t="s">
        <v>317</v>
      </c>
      <c r="W305" s="2" t="s">
        <v>51</v>
      </c>
      <c r="X305" s="2" t="s">
        <v>52</v>
      </c>
      <c r="Y305" s="2" t="s">
        <v>53</v>
      </c>
      <c r="Z305" s="3">
        <v>8.0</v>
      </c>
      <c r="AA305" s="2" t="s">
        <v>164</v>
      </c>
      <c r="AB305" s="3">
        <v>36.0</v>
      </c>
      <c r="AC305" s="3">
        <v>36.0</v>
      </c>
      <c r="AD305" s="7">
        <v>0.8125</v>
      </c>
      <c r="AE305" s="3">
        <v>117.0</v>
      </c>
      <c r="AF305" s="3">
        <v>4.0</v>
      </c>
      <c r="AG305" s="3">
        <v>0.0</v>
      </c>
      <c r="AH305" s="3">
        <v>1.0</v>
      </c>
      <c r="AI305" s="3">
        <v>3.0</v>
      </c>
      <c r="AJ305" s="3">
        <v>0.0</v>
      </c>
      <c r="AK305" s="3">
        <v>4.0</v>
      </c>
    </row>
    <row r="306">
      <c r="A306" s="2" t="s">
        <v>37</v>
      </c>
      <c r="B306" s="3">
        <v>38833.0</v>
      </c>
      <c r="C306" s="3" t="s">
        <v>106</v>
      </c>
      <c r="D306" s="3" t="s">
        <v>38</v>
      </c>
      <c r="E306" s="2" t="s">
        <v>39</v>
      </c>
      <c r="F306" s="3">
        <v>85926.0</v>
      </c>
      <c r="G306" s="2" t="s">
        <v>1063</v>
      </c>
      <c r="H306" s="5">
        <v>45917.8571875</v>
      </c>
      <c r="I306" s="2" t="s">
        <v>442</v>
      </c>
      <c r="J306" s="2" t="s">
        <v>1064</v>
      </c>
      <c r="K306" s="2" t="s">
        <v>110</v>
      </c>
      <c r="L306" s="2" t="s">
        <v>44</v>
      </c>
      <c r="M306" s="2" t="s">
        <v>111</v>
      </c>
      <c r="N306" s="2" t="s">
        <v>468</v>
      </c>
      <c r="O306" s="2" t="s">
        <v>1065</v>
      </c>
      <c r="P306" s="4">
        <v>46084.0</v>
      </c>
      <c r="Q306" s="3" t="s">
        <v>194</v>
      </c>
      <c r="R306" s="3">
        <v>1335.0</v>
      </c>
      <c r="S306" s="2" t="s">
        <v>486</v>
      </c>
      <c r="T306" s="2" t="s">
        <v>110</v>
      </c>
      <c r="U306" s="2" t="s">
        <v>115</v>
      </c>
      <c r="V306" s="2" t="s">
        <v>116</v>
      </c>
      <c r="W306" s="2" t="s">
        <v>51</v>
      </c>
      <c r="X306" s="2" t="s">
        <v>117</v>
      </c>
      <c r="Y306" s="2" t="s">
        <v>188</v>
      </c>
      <c r="Z306" s="3">
        <v>7.0</v>
      </c>
      <c r="AA306" s="2" t="s">
        <v>164</v>
      </c>
      <c r="AB306" s="3">
        <v>12.0</v>
      </c>
      <c r="AC306" s="3">
        <v>12.0</v>
      </c>
      <c r="AD306" s="7">
        <v>1.0</v>
      </c>
      <c r="AE306" s="3">
        <v>48.0</v>
      </c>
      <c r="AF306" s="3">
        <v>4.0</v>
      </c>
      <c r="AG306" s="3">
        <v>0.0</v>
      </c>
      <c r="AH306" s="3">
        <v>4.0</v>
      </c>
      <c r="AI306" s="3">
        <v>0.0</v>
      </c>
      <c r="AJ306" s="3">
        <v>0.0</v>
      </c>
      <c r="AK306" s="3">
        <v>4.0</v>
      </c>
    </row>
    <row r="307">
      <c r="A307" s="2" t="s">
        <v>37</v>
      </c>
      <c r="B307" s="3">
        <v>38854.0</v>
      </c>
      <c r="C307" s="3" t="s">
        <v>106</v>
      </c>
      <c r="D307" s="3" t="s">
        <v>38</v>
      </c>
      <c r="E307" s="2" t="s">
        <v>39</v>
      </c>
      <c r="F307" s="3">
        <v>83680.0</v>
      </c>
      <c r="G307" s="2" t="s">
        <v>1066</v>
      </c>
      <c r="H307" s="5">
        <v>45853.930914351855</v>
      </c>
      <c r="I307" s="2" t="s">
        <v>108</v>
      </c>
      <c r="J307" s="2" t="s">
        <v>191</v>
      </c>
      <c r="K307" s="2" t="s">
        <v>110</v>
      </c>
      <c r="L307" s="2" t="s">
        <v>44</v>
      </c>
      <c r="M307" s="2" t="s">
        <v>89</v>
      </c>
      <c r="N307" s="2" t="s">
        <v>462</v>
      </c>
      <c r="O307" s="2" t="s">
        <v>1067</v>
      </c>
      <c r="P307" s="4">
        <v>46084.0</v>
      </c>
      <c r="Q307" s="3" t="s">
        <v>194</v>
      </c>
      <c r="R307" s="3">
        <v>1705.0</v>
      </c>
      <c r="S307" s="2" t="s">
        <v>694</v>
      </c>
      <c r="T307" s="2" t="s">
        <v>110</v>
      </c>
      <c r="U307" s="2" t="s">
        <v>187</v>
      </c>
      <c r="V307" s="2" t="s">
        <v>116</v>
      </c>
      <c r="W307" s="2" t="s">
        <v>51</v>
      </c>
      <c r="X307" s="2" t="s">
        <v>117</v>
      </c>
      <c r="Y307" s="2" t="s">
        <v>188</v>
      </c>
      <c r="Z307" s="3">
        <v>7.0</v>
      </c>
      <c r="AA307" s="2" t="s">
        <v>164</v>
      </c>
      <c r="AB307" s="3">
        <v>70.0</v>
      </c>
      <c r="AC307" s="3">
        <v>70.0</v>
      </c>
      <c r="AD307" s="7">
        <v>0.9429</v>
      </c>
      <c r="AE307" s="3">
        <v>264.0</v>
      </c>
      <c r="AF307" s="3">
        <v>4.0</v>
      </c>
      <c r="AG307" s="3">
        <v>0.0</v>
      </c>
      <c r="AH307" s="3">
        <v>4.0</v>
      </c>
      <c r="AI307" s="3">
        <v>0.0</v>
      </c>
      <c r="AJ307" s="3">
        <v>0.0</v>
      </c>
      <c r="AK307" s="3">
        <v>4.0</v>
      </c>
    </row>
    <row r="308">
      <c r="A308" s="2" t="s">
        <v>37</v>
      </c>
      <c r="B308" s="3">
        <v>38846.0</v>
      </c>
      <c r="C308" s="3" t="s">
        <v>106</v>
      </c>
      <c r="D308" s="3" t="s">
        <v>38</v>
      </c>
      <c r="E308" s="2" t="s">
        <v>39</v>
      </c>
      <c r="F308" s="3">
        <v>53164.0</v>
      </c>
      <c r="G308" s="2" t="s">
        <v>1068</v>
      </c>
      <c r="H308" s="5">
        <v>44459.48489583333</v>
      </c>
      <c r="I308" s="2" t="s">
        <v>57</v>
      </c>
      <c r="J308" s="2" t="s">
        <v>1069</v>
      </c>
      <c r="K308" s="2" t="s">
        <v>110</v>
      </c>
      <c r="L308" s="2" t="s">
        <v>44</v>
      </c>
      <c r="M308" s="2" t="s">
        <v>205</v>
      </c>
      <c r="N308" s="2" t="s">
        <v>1070</v>
      </c>
      <c r="O308" s="2" t="s">
        <v>1071</v>
      </c>
      <c r="P308" s="4">
        <v>46056.0</v>
      </c>
      <c r="Q308" s="3" t="s">
        <v>147</v>
      </c>
      <c r="R308" s="3">
        <v>1339.0</v>
      </c>
      <c r="S308" s="2" t="s">
        <v>421</v>
      </c>
      <c r="T308" s="2" t="s">
        <v>110</v>
      </c>
      <c r="U308" s="2" t="s">
        <v>115</v>
      </c>
      <c r="V308" s="2" t="s">
        <v>116</v>
      </c>
      <c r="W308" s="2" t="s">
        <v>51</v>
      </c>
      <c r="X308" s="2" t="s">
        <v>117</v>
      </c>
      <c r="Y308" s="2" t="s">
        <v>53</v>
      </c>
      <c r="Z308" s="3">
        <v>8.0</v>
      </c>
      <c r="AA308" s="2" t="s">
        <v>54</v>
      </c>
      <c r="AB308" s="3">
        <v>27.0</v>
      </c>
      <c r="AC308" s="3">
        <v>27.0</v>
      </c>
      <c r="AD308" s="7">
        <v>0.873</v>
      </c>
      <c r="AE308" s="3">
        <v>165.0</v>
      </c>
      <c r="AF308" s="3">
        <v>7.0</v>
      </c>
      <c r="AG308" s="3">
        <v>0.0</v>
      </c>
      <c r="AH308" s="3">
        <v>7.0</v>
      </c>
      <c r="AI308" s="3">
        <v>0.0</v>
      </c>
      <c r="AJ308" s="3">
        <v>0.0</v>
      </c>
      <c r="AK308" s="3">
        <v>7.0</v>
      </c>
    </row>
    <row r="309">
      <c r="A309" s="2" t="s">
        <v>37</v>
      </c>
      <c r="B309" s="3">
        <v>38857.0</v>
      </c>
      <c r="C309" s="3" t="s">
        <v>106</v>
      </c>
      <c r="D309" s="3" t="s">
        <v>38</v>
      </c>
      <c r="E309" s="2" t="s">
        <v>39</v>
      </c>
      <c r="F309" s="3">
        <v>53164.0</v>
      </c>
      <c r="G309" s="2" t="s">
        <v>1068</v>
      </c>
      <c r="H309" s="5">
        <v>44459.48489583333</v>
      </c>
      <c r="I309" s="2" t="s">
        <v>57</v>
      </c>
      <c r="J309" s="2" t="s">
        <v>1069</v>
      </c>
      <c r="K309" s="2" t="s">
        <v>110</v>
      </c>
      <c r="L309" s="2" t="s">
        <v>44</v>
      </c>
      <c r="M309" s="2" t="s">
        <v>205</v>
      </c>
      <c r="N309" s="2" t="s">
        <v>1070</v>
      </c>
      <c r="O309" s="2" t="s">
        <v>1071</v>
      </c>
      <c r="P309" s="4">
        <v>46084.0</v>
      </c>
      <c r="Q309" s="3" t="s">
        <v>194</v>
      </c>
      <c r="R309" s="3">
        <v>1706.0</v>
      </c>
      <c r="S309" s="2" t="s">
        <v>186</v>
      </c>
      <c r="T309" s="2" t="s">
        <v>110</v>
      </c>
      <c r="U309" s="2" t="s">
        <v>187</v>
      </c>
      <c r="V309" s="2" t="s">
        <v>116</v>
      </c>
      <c r="W309" s="2" t="s">
        <v>51</v>
      </c>
      <c r="X309" s="2" t="s">
        <v>117</v>
      </c>
      <c r="Y309" s="2" t="s">
        <v>53</v>
      </c>
      <c r="Z309" s="3">
        <v>8.0</v>
      </c>
      <c r="AA309" s="2" t="s">
        <v>54</v>
      </c>
      <c r="AB309" s="3">
        <v>40.0</v>
      </c>
      <c r="AC309" s="3">
        <v>40.0</v>
      </c>
      <c r="AD309" s="7">
        <v>0.975</v>
      </c>
      <c r="AE309" s="3">
        <v>156.0</v>
      </c>
      <c r="AF309" s="3">
        <v>4.0</v>
      </c>
      <c r="AG309" s="3">
        <v>0.0</v>
      </c>
      <c r="AH309" s="3">
        <v>4.0</v>
      </c>
      <c r="AI309" s="3">
        <v>0.0</v>
      </c>
      <c r="AJ309" s="3">
        <v>0.0</v>
      </c>
      <c r="AK309" s="3">
        <v>4.0</v>
      </c>
    </row>
    <row r="310">
      <c r="A310" s="2" t="s">
        <v>37</v>
      </c>
      <c r="B310" s="3">
        <v>38928.0</v>
      </c>
      <c r="C310" s="4">
        <v>45666.0</v>
      </c>
      <c r="D310" s="3" t="s">
        <v>38</v>
      </c>
      <c r="E310" s="2" t="s">
        <v>72</v>
      </c>
      <c r="F310" s="3">
        <v>83622.0</v>
      </c>
      <c r="G310" s="2" t="s">
        <v>1072</v>
      </c>
      <c r="H310" s="5">
        <v>45853.692719907405</v>
      </c>
      <c r="I310" s="2" t="s">
        <v>108</v>
      </c>
      <c r="J310" s="2" t="s">
        <v>1073</v>
      </c>
      <c r="K310" s="2" t="s">
        <v>128</v>
      </c>
      <c r="L310" s="2" t="s">
        <v>44</v>
      </c>
      <c r="M310" s="2" t="s">
        <v>111</v>
      </c>
      <c r="N310" s="2" t="s">
        <v>587</v>
      </c>
      <c r="O310" s="2" t="s">
        <v>1074</v>
      </c>
      <c r="P310" s="4">
        <v>46056.0</v>
      </c>
      <c r="Q310" s="4">
        <v>46084.0</v>
      </c>
      <c r="R310" s="3">
        <v>1760.0</v>
      </c>
      <c r="S310" s="2" t="s">
        <v>223</v>
      </c>
      <c r="T310" s="2" t="s">
        <v>81</v>
      </c>
      <c r="U310" s="2" t="s">
        <v>82</v>
      </c>
      <c r="V310" s="2" t="s">
        <v>83</v>
      </c>
      <c r="W310" s="2" t="s">
        <v>68</v>
      </c>
      <c r="X310" s="2" t="s">
        <v>69</v>
      </c>
      <c r="Y310" s="2" t="s">
        <v>53</v>
      </c>
      <c r="Z310" s="3">
        <v>9.0</v>
      </c>
      <c r="AA310" s="2" t="s">
        <v>125</v>
      </c>
      <c r="AB310" s="3">
        <v>18.0</v>
      </c>
      <c r="AC310" s="3">
        <v>18.0</v>
      </c>
      <c r="AD310" s="7">
        <v>0.8889</v>
      </c>
      <c r="AE310" s="3">
        <v>32.0</v>
      </c>
      <c r="AF310" s="3">
        <v>2.0</v>
      </c>
      <c r="AG310" s="3">
        <v>0.0</v>
      </c>
      <c r="AH310" s="3">
        <v>0.0</v>
      </c>
      <c r="AI310" s="3">
        <v>2.0</v>
      </c>
      <c r="AJ310" s="3">
        <v>0.0</v>
      </c>
      <c r="AK310" s="3">
        <v>2.0</v>
      </c>
    </row>
    <row r="311">
      <c r="A311" s="2" t="s">
        <v>37</v>
      </c>
      <c r="B311" s="3">
        <v>36791.0</v>
      </c>
      <c r="C311" s="3" t="s">
        <v>71</v>
      </c>
      <c r="D311" s="3" t="s">
        <v>38</v>
      </c>
      <c r="E311" s="2" t="s">
        <v>72</v>
      </c>
      <c r="F311" s="3">
        <v>81302.0</v>
      </c>
      <c r="G311" s="2" t="s">
        <v>1075</v>
      </c>
      <c r="H311" s="5">
        <v>45787.837685185186</v>
      </c>
      <c r="I311" s="2" t="s">
        <v>57</v>
      </c>
      <c r="J311" s="2" t="s">
        <v>275</v>
      </c>
      <c r="K311" s="2" t="s">
        <v>59</v>
      </c>
      <c r="L311" s="2" t="s">
        <v>44</v>
      </c>
      <c r="M311" s="2" t="s">
        <v>89</v>
      </c>
      <c r="N311" s="2" t="s">
        <v>1076</v>
      </c>
      <c r="O311" s="2" t="s">
        <v>1077</v>
      </c>
      <c r="P311" s="4">
        <v>46084.0</v>
      </c>
      <c r="Q311" s="4">
        <v>46145.0</v>
      </c>
      <c r="R311" s="3">
        <v>1759.0</v>
      </c>
      <c r="S311" s="2" t="s">
        <v>124</v>
      </c>
      <c r="T311" s="2" t="s">
        <v>81</v>
      </c>
      <c r="U311" s="2" t="s">
        <v>82</v>
      </c>
      <c r="V311" s="2" t="s">
        <v>83</v>
      </c>
      <c r="W311" s="2" t="s">
        <v>68</v>
      </c>
      <c r="X311" s="2" t="s">
        <v>69</v>
      </c>
      <c r="Y311" s="2" t="s">
        <v>53</v>
      </c>
      <c r="Z311" s="3">
        <v>7.0</v>
      </c>
      <c r="AA311" s="2" t="s">
        <v>141</v>
      </c>
      <c r="AB311" s="3">
        <v>21.0</v>
      </c>
      <c r="AC311" s="3">
        <v>21.0</v>
      </c>
      <c r="AD311" s="7">
        <v>1.0</v>
      </c>
      <c r="AE311" s="3">
        <v>42.0</v>
      </c>
      <c r="AF311" s="3">
        <v>2.0</v>
      </c>
      <c r="AG311" s="3">
        <v>0.0</v>
      </c>
      <c r="AH311" s="3">
        <v>2.0</v>
      </c>
      <c r="AI311" s="3">
        <v>0.0</v>
      </c>
      <c r="AJ311" s="3">
        <v>0.0</v>
      </c>
      <c r="AK311" s="3">
        <v>2.0</v>
      </c>
    </row>
    <row r="312">
      <c r="A312" s="2" t="s">
        <v>37</v>
      </c>
      <c r="B312" s="3">
        <v>36842.0</v>
      </c>
      <c r="C312" s="3" t="s">
        <v>71</v>
      </c>
      <c r="D312" s="3" t="s">
        <v>38</v>
      </c>
      <c r="E312" s="2" t="s">
        <v>72</v>
      </c>
      <c r="F312" s="3">
        <v>85748.0</v>
      </c>
      <c r="G312" s="2" t="s">
        <v>1078</v>
      </c>
      <c r="H312" s="5">
        <v>45914.50315972222</v>
      </c>
      <c r="I312" s="2" t="s">
        <v>57</v>
      </c>
      <c r="J312" s="2" t="s">
        <v>1079</v>
      </c>
      <c r="K312" s="2" t="s">
        <v>128</v>
      </c>
      <c r="L312" s="2" t="s">
        <v>44</v>
      </c>
      <c r="M312" s="2" t="s">
        <v>60</v>
      </c>
      <c r="N312" s="2" t="s">
        <v>100</v>
      </c>
      <c r="O312" s="2" t="s">
        <v>1080</v>
      </c>
      <c r="P312" s="4">
        <v>46084.0</v>
      </c>
      <c r="Q312" s="4">
        <v>46145.0</v>
      </c>
      <c r="R312" s="3">
        <v>1764.0</v>
      </c>
      <c r="S312" s="2" t="s">
        <v>300</v>
      </c>
      <c r="T312" s="2" t="s">
        <v>81</v>
      </c>
      <c r="U312" s="2" t="s">
        <v>301</v>
      </c>
      <c r="V312" s="2" t="s">
        <v>83</v>
      </c>
      <c r="W312" s="2" t="s">
        <v>68</v>
      </c>
      <c r="X312" s="2" t="s">
        <v>69</v>
      </c>
      <c r="Y312" s="2" t="s">
        <v>53</v>
      </c>
      <c r="Z312" s="3">
        <v>9.0</v>
      </c>
      <c r="AA312" s="2" t="s">
        <v>84</v>
      </c>
      <c r="AB312" s="3">
        <v>22.0</v>
      </c>
      <c r="AC312" s="3">
        <v>22.0</v>
      </c>
      <c r="AD312" s="7">
        <v>1.0</v>
      </c>
      <c r="AE312" s="3">
        <v>44.0</v>
      </c>
      <c r="AF312" s="3">
        <v>2.0</v>
      </c>
      <c r="AG312" s="3">
        <v>0.0</v>
      </c>
      <c r="AH312" s="3">
        <v>2.0</v>
      </c>
      <c r="AI312" s="3">
        <v>0.0</v>
      </c>
      <c r="AJ312" s="3">
        <v>0.0</v>
      </c>
      <c r="AK312" s="3">
        <v>2.0</v>
      </c>
    </row>
    <row r="313">
      <c r="A313" s="2" t="s">
        <v>37</v>
      </c>
      <c r="B313" s="3">
        <v>36850.0</v>
      </c>
      <c r="C313" s="3" t="s">
        <v>71</v>
      </c>
      <c r="D313" s="3" t="s">
        <v>38</v>
      </c>
      <c r="E313" s="2" t="s">
        <v>72</v>
      </c>
      <c r="F313" s="3">
        <v>73205.0</v>
      </c>
      <c r="G313" s="2" t="s">
        <v>1081</v>
      </c>
      <c r="H313" s="5">
        <v>45461.52799768518</v>
      </c>
      <c r="I313" s="2" t="s">
        <v>296</v>
      </c>
      <c r="J313" s="2" t="s">
        <v>398</v>
      </c>
      <c r="K313" s="2" t="s">
        <v>81</v>
      </c>
      <c r="L313" s="2" t="s">
        <v>44</v>
      </c>
      <c r="M313" s="2" t="s">
        <v>60</v>
      </c>
      <c r="N313" s="2" t="s">
        <v>298</v>
      </c>
      <c r="O313" s="2" t="s">
        <v>1082</v>
      </c>
      <c r="P313" s="4">
        <v>46206.0</v>
      </c>
      <c r="Q313" s="4">
        <v>46206.0</v>
      </c>
      <c r="R313" s="3">
        <v>1770.0</v>
      </c>
      <c r="S313" s="2" t="s">
        <v>397</v>
      </c>
      <c r="T313" s="2" t="s">
        <v>81</v>
      </c>
      <c r="U313" s="2" t="s">
        <v>398</v>
      </c>
      <c r="V313" s="2" t="s">
        <v>83</v>
      </c>
      <c r="W313" s="2" t="s">
        <v>68</v>
      </c>
      <c r="X313" s="2" t="s">
        <v>69</v>
      </c>
      <c r="Y313" s="2" t="s">
        <v>53</v>
      </c>
      <c r="Z313" s="3">
        <v>9.0</v>
      </c>
      <c r="AA313" s="2" t="s">
        <v>84</v>
      </c>
      <c r="AB313" s="3">
        <v>13.0</v>
      </c>
      <c r="AC313" s="3">
        <v>13.0</v>
      </c>
      <c r="AD313" s="7">
        <v>0.8462</v>
      </c>
      <c r="AE313" s="3">
        <v>11.0</v>
      </c>
      <c r="AF313" s="3">
        <v>1.0</v>
      </c>
      <c r="AG313" s="3">
        <v>0.0</v>
      </c>
      <c r="AH313" s="3">
        <v>1.0</v>
      </c>
      <c r="AI313" s="3">
        <v>0.0</v>
      </c>
      <c r="AJ313" s="3">
        <v>0.0</v>
      </c>
      <c r="AK313" s="3">
        <v>1.0</v>
      </c>
    </row>
    <row r="314">
      <c r="A314" s="2" t="s">
        <v>37</v>
      </c>
      <c r="B314" s="3">
        <v>36874.0</v>
      </c>
      <c r="C314" s="3" t="s">
        <v>302</v>
      </c>
      <c r="D314" s="3" t="s">
        <v>38</v>
      </c>
      <c r="E314" s="2" t="s">
        <v>72</v>
      </c>
      <c r="F314" s="3">
        <v>73205.0</v>
      </c>
      <c r="G314" s="2" t="s">
        <v>1081</v>
      </c>
      <c r="H314" s="5">
        <v>45461.52799768518</v>
      </c>
      <c r="I314" s="2" t="s">
        <v>296</v>
      </c>
      <c r="J314" s="2" t="s">
        <v>398</v>
      </c>
      <c r="K314" s="2" t="s">
        <v>81</v>
      </c>
      <c r="L314" s="2" t="s">
        <v>44</v>
      </c>
      <c r="M314" s="2" t="s">
        <v>60</v>
      </c>
      <c r="N314" s="2" t="s">
        <v>298</v>
      </c>
      <c r="O314" s="2" t="s">
        <v>1082</v>
      </c>
      <c r="P314" s="4">
        <v>46176.0</v>
      </c>
      <c r="Q314" s="4">
        <v>46176.0</v>
      </c>
      <c r="R314" s="3">
        <v>1770.0</v>
      </c>
      <c r="S314" s="2" t="s">
        <v>397</v>
      </c>
      <c r="T314" s="2" t="s">
        <v>81</v>
      </c>
      <c r="U314" s="2" t="s">
        <v>398</v>
      </c>
      <c r="V314" s="2" t="s">
        <v>83</v>
      </c>
      <c r="W314" s="2" t="s">
        <v>68</v>
      </c>
      <c r="X314" s="2" t="s">
        <v>69</v>
      </c>
      <c r="Y314" s="2" t="s">
        <v>53</v>
      </c>
      <c r="Z314" s="3">
        <v>7.0</v>
      </c>
      <c r="AA314" s="2" t="s">
        <v>141</v>
      </c>
      <c r="AB314" s="3">
        <v>28.0</v>
      </c>
      <c r="AC314" s="3">
        <v>28.0</v>
      </c>
      <c r="AD314" s="7">
        <v>0.8214</v>
      </c>
      <c r="AE314" s="3">
        <v>23.0</v>
      </c>
      <c r="AF314" s="3">
        <v>1.0</v>
      </c>
      <c r="AG314" s="3">
        <v>0.0</v>
      </c>
      <c r="AH314" s="3">
        <v>1.0</v>
      </c>
      <c r="AI314" s="3">
        <v>0.0</v>
      </c>
      <c r="AJ314" s="3">
        <v>0.0</v>
      </c>
      <c r="AK314" s="3">
        <v>1.0</v>
      </c>
    </row>
    <row r="315">
      <c r="A315" s="2" t="s">
        <v>37</v>
      </c>
      <c r="B315" s="3">
        <v>36875.0</v>
      </c>
      <c r="C315" s="3" t="s">
        <v>302</v>
      </c>
      <c r="D315" s="3" t="s">
        <v>38</v>
      </c>
      <c r="E315" s="2" t="s">
        <v>72</v>
      </c>
      <c r="F315" s="3">
        <v>73205.0</v>
      </c>
      <c r="G315" s="2" t="s">
        <v>1081</v>
      </c>
      <c r="H315" s="5">
        <v>45461.52799768518</v>
      </c>
      <c r="I315" s="2" t="s">
        <v>296</v>
      </c>
      <c r="J315" s="2" t="s">
        <v>398</v>
      </c>
      <c r="K315" s="2" t="s">
        <v>81</v>
      </c>
      <c r="L315" s="2" t="s">
        <v>44</v>
      </c>
      <c r="M315" s="2" t="s">
        <v>60</v>
      </c>
      <c r="N315" s="2" t="s">
        <v>298</v>
      </c>
      <c r="O315" s="2" t="s">
        <v>1082</v>
      </c>
      <c r="P315" s="4">
        <v>46206.0</v>
      </c>
      <c r="Q315" s="4">
        <v>46206.0</v>
      </c>
      <c r="R315" s="3">
        <v>1770.0</v>
      </c>
      <c r="S315" s="2" t="s">
        <v>397</v>
      </c>
      <c r="T315" s="2" t="s">
        <v>81</v>
      </c>
      <c r="U315" s="2" t="s">
        <v>398</v>
      </c>
      <c r="V315" s="2" t="s">
        <v>83</v>
      </c>
      <c r="W315" s="2" t="s">
        <v>68</v>
      </c>
      <c r="X315" s="2" t="s">
        <v>69</v>
      </c>
      <c r="Y315" s="2" t="s">
        <v>53</v>
      </c>
      <c r="Z315" s="3">
        <v>8.0</v>
      </c>
      <c r="AA315" s="2" t="s">
        <v>141</v>
      </c>
      <c r="AB315" s="3">
        <v>19.0</v>
      </c>
      <c r="AC315" s="3">
        <v>19.0</v>
      </c>
      <c r="AD315" s="7">
        <v>0.8947</v>
      </c>
      <c r="AE315" s="3">
        <v>17.0</v>
      </c>
      <c r="AF315" s="3">
        <v>1.0</v>
      </c>
      <c r="AG315" s="3">
        <v>0.0</v>
      </c>
      <c r="AH315" s="3">
        <v>1.0</v>
      </c>
      <c r="AI315" s="3">
        <v>0.0</v>
      </c>
      <c r="AJ315" s="3">
        <v>0.0</v>
      </c>
      <c r="AK315" s="3">
        <v>1.0</v>
      </c>
    </row>
    <row r="316">
      <c r="A316" s="2" t="s">
        <v>37</v>
      </c>
      <c r="B316" s="3">
        <v>36984.0</v>
      </c>
      <c r="C316" s="4">
        <v>45662.0</v>
      </c>
      <c r="D316" s="3" t="s">
        <v>38</v>
      </c>
      <c r="E316" s="2" t="s">
        <v>72</v>
      </c>
      <c r="F316" s="3">
        <v>73205.0</v>
      </c>
      <c r="G316" s="2" t="s">
        <v>1081</v>
      </c>
      <c r="H316" s="5">
        <v>45461.52799768518</v>
      </c>
      <c r="I316" s="2" t="s">
        <v>296</v>
      </c>
      <c r="J316" s="2" t="s">
        <v>398</v>
      </c>
      <c r="K316" s="2" t="s">
        <v>81</v>
      </c>
      <c r="L316" s="2" t="s">
        <v>44</v>
      </c>
      <c r="M316" s="2" t="s">
        <v>60</v>
      </c>
      <c r="N316" s="2" t="s">
        <v>298</v>
      </c>
      <c r="O316" s="2" t="s">
        <v>1082</v>
      </c>
      <c r="P316" s="4">
        <v>46115.0</v>
      </c>
      <c r="Q316" s="4">
        <v>46115.0</v>
      </c>
      <c r="R316" s="3">
        <v>1770.0</v>
      </c>
      <c r="S316" s="2" t="s">
        <v>397</v>
      </c>
      <c r="T316" s="2" t="s">
        <v>81</v>
      </c>
      <c r="U316" s="2" t="s">
        <v>398</v>
      </c>
      <c r="V316" s="2" t="s">
        <v>83</v>
      </c>
      <c r="W316" s="2" t="s">
        <v>68</v>
      </c>
      <c r="X316" s="2" t="s">
        <v>69</v>
      </c>
      <c r="Y316" s="2" t="s">
        <v>53</v>
      </c>
      <c r="Z316" s="3">
        <v>6.0</v>
      </c>
      <c r="AA316" s="2" t="s">
        <v>180</v>
      </c>
      <c r="AB316" s="3">
        <v>18.0</v>
      </c>
      <c r="AC316" s="3">
        <v>18.0</v>
      </c>
      <c r="AD316" s="7">
        <v>1.0</v>
      </c>
      <c r="AE316" s="3">
        <v>18.0</v>
      </c>
      <c r="AF316" s="3">
        <v>1.0</v>
      </c>
      <c r="AG316" s="3">
        <v>0.0</v>
      </c>
      <c r="AH316" s="3">
        <v>1.0</v>
      </c>
      <c r="AI316" s="3">
        <v>0.0</v>
      </c>
      <c r="AJ316" s="3">
        <v>0.0</v>
      </c>
      <c r="AK316" s="3">
        <v>1.0</v>
      </c>
    </row>
    <row r="317">
      <c r="A317" s="2" t="s">
        <v>37</v>
      </c>
      <c r="B317" s="3">
        <v>40201.0</v>
      </c>
      <c r="C317" s="3" t="s">
        <v>55</v>
      </c>
      <c r="D317" s="3" t="s">
        <v>38</v>
      </c>
      <c r="E317" s="2" t="s">
        <v>39</v>
      </c>
      <c r="F317" s="3">
        <v>88815.0</v>
      </c>
      <c r="G317" s="2" t="s">
        <v>1083</v>
      </c>
      <c r="H317" s="5">
        <v>46076.98305555555</v>
      </c>
      <c r="I317" s="2" t="s">
        <v>57</v>
      </c>
      <c r="J317" s="2" t="s">
        <v>1084</v>
      </c>
      <c r="K317" s="2" t="s">
        <v>1085</v>
      </c>
      <c r="L317" s="2" t="s">
        <v>44</v>
      </c>
      <c r="M317" s="2" t="s">
        <v>183</v>
      </c>
      <c r="N317" s="2" t="s">
        <v>1086</v>
      </c>
      <c r="O317" s="2" t="s">
        <v>1087</v>
      </c>
      <c r="P317" s="3" t="s">
        <v>194</v>
      </c>
      <c r="Q317" s="3" t="s">
        <v>63</v>
      </c>
      <c r="R317" s="3">
        <v>1790.0</v>
      </c>
      <c r="S317" s="2" t="s">
        <v>289</v>
      </c>
      <c r="T317" s="2" t="s">
        <v>65</v>
      </c>
      <c r="U317" s="2" t="s">
        <v>66</v>
      </c>
      <c r="V317" s="2" t="s">
        <v>67</v>
      </c>
      <c r="W317" s="2" t="s">
        <v>68</v>
      </c>
      <c r="X317" s="2" t="s">
        <v>69</v>
      </c>
      <c r="Y317" s="2" t="s">
        <v>53</v>
      </c>
      <c r="Z317" s="3">
        <v>8.0</v>
      </c>
      <c r="AA317" s="2" t="s">
        <v>70</v>
      </c>
      <c r="AB317" s="3">
        <v>31.0</v>
      </c>
      <c r="AC317" s="3">
        <v>31.0</v>
      </c>
      <c r="AD317" s="7">
        <v>0.9548</v>
      </c>
      <c r="AE317" s="3">
        <v>148.0</v>
      </c>
      <c r="AF317" s="3">
        <v>5.0</v>
      </c>
      <c r="AG317" s="3">
        <v>0.0</v>
      </c>
      <c r="AH317" s="3">
        <v>5.0</v>
      </c>
      <c r="AI317" s="3">
        <v>0.0</v>
      </c>
      <c r="AJ317" s="3">
        <v>0.0</v>
      </c>
      <c r="AK317" s="3">
        <v>5.0</v>
      </c>
    </row>
    <row r="318">
      <c r="A318" s="2" t="s">
        <v>37</v>
      </c>
      <c r="B318" s="3">
        <v>36991.0</v>
      </c>
      <c r="C318" s="4">
        <v>45661.0</v>
      </c>
      <c r="D318" s="3" t="s">
        <v>38</v>
      </c>
      <c r="E318" s="2" t="s">
        <v>72</v>
      </c>
      <c r="F318" s="3">
        <v>73203.0</v>
      </c>
      <c r="G318" s="2" t="s">
        <v>1088</v>
      </c>
      <c r="H318" s="5">
        <v>45461.527592592596</v>
      </c>
      <c r="I318" s="2" t="s">
        <v>296</v>
      </c>
      <c r="J318" s="2" t="s">
        <v>1089</v>
      </c>
      <c r="K318" s="2" t="s">
        <v>81</v>
      </c>
      <c r="L318" s="2" t="s">
        <v>44</v>
      </c>
      <c r="M318" s="2" t="s">
        <v>89</v>
      </c>
      <c r="N318" s="2" t="s">
        <v>298</v>
      </c>
      <c r="O318" s="2" t="s">
        <v>1090</v>
      </c>
      <c r="P318" s="4">
        <v>46176.0</v>
      </c>
      <c r="Q318" s="4">
        <v>46176.0</v>
      </c>
      <c r="R318" s="3">
        <v>1759.0</v>
      </c>
      <c r="S318" s="2" t="s">
        <v>124</v>
      </c>
      <c r="T318" s="2" t="s">
        <v>81</v>
      </c>
      <c r="U318" s="2" t="s">
        <v>82</v>
      </c>
      <c r="V318" s="2" t="s">
        <v>83</v>
      </c>
      <c r="W318" s="2" t="s">
        <v>68</v>
      </c>
      <c r="X318" s="2" t="s">
        <v>69</v>
      </c>
      <c r="Y318" s="2" t="s">
        <v>53</v>
      </c>
      <c r="Z318" s="3">
        <v>6.0</v>
      </c>
      <c r="AA318" s="2" t="s">
        <v>180</v>
      </c>
      <c r="AB318" s="3">
        <v>27.0</v>
      </c>
      <c r="AC318" s="3">
        <v>27.0</v>
      </c>
      <c r="AD318" s="7">
        <v>1.0</v>
      </c>
      <c r="AE318" s="3">
        <v>27.0</v>
      </c>
      <c r="AF318" s="3">
        <v>1.0</v>
      </c>
      <c r="AG318" s="3">
        <v>0.0</v>
      </c>
      <c r="AH318" s="3">
        <v>1.0</v>
      </c>
      <c r="AI318" s="3">
        <v>0.0</v>
      </c>
      <c r="AJ318" s="3">
        <v>0.0</v>
      </c>
      <c r="AK318" s="3">
        <v>1.0</v>
      </c>
    </row>
    <row r="319">
      <c r="A319" s="2" t="s">
        <v>37</v>
      </c>
      <c r="B319" s="3">
        <v>36848.0</v>
      </c>
      <c r="C319" s="3" t="s">
        <v>71</v>
      </c>
      <c r="D319" s="3" t="s">
        <v>38</v>
      </c>
      <c r="E319" s="2" t="s">
        <v>72</v>
      </c>
      <c r="F319" s="3">
        <v>73203.0</v>
      </c>
      <c r="G319" s="2" t="s">
        <v>1088</v>
      </c>
      <c r="H319" s="5">
        <v>45461.527592592596</v>
      </c>
      <c r="I319" s="2" t="s">
        <v>296</v>
      </c>
      <c r="J319" s="2" t="s">
        <v>1089</v>
      </c>
      <c r="K319" s="2" t="s">
        <v>81</v>
      </c>
      <c r="L319" s="2" t="s">
        <v>44</v>
      </c>
      <c r="M319" s="2" t="s">
        <v>89</v>
      </c>
      <c r="N319" s="2" t="s">
        <v>298</v>
      </c>
      <c r="O319" s="2" t="s">
        <v>1090</v>
      </c>
      <c r="P319" s="4">
        <v>46145.0</v>
      </c>
      <c r="Q319" s="4">
        <v>46145.0</v>
      </c>
      <c r="R319" s="3">
        <v>1759.0</v>
      </c>
      <c r="S319" s="2" t="s">
        <v>124</v>
      </c>
      <c r="T319" s="2" t="s">
        <v>81</v>
      </c>
      <c r="U319" s="2" t="s">
        <v>82</v>
      </c>
      <c r="V319" s="2" t="s">
        <v>83</v>
      </c>
      <c r="W319" s="2" t="s">
        <v>68</v>
      </c>
      <c r="X319" s="2" t="s">
        <v>69</v>
      </c>
      <c r="Y319" s="2" t="s">
        <v>53</v>
      </c>
      <c r="Z319" s="3">
        <v>9.0</v>
      </c>
      <c r="AA319" s="2" t="s">
        <v>84</v>
      </c>
      <c r="AB319" s="3">
        <v>30.0</v>
      </c>
      <c r="AC319" s="3">
        <v>30.0</v>
      </c>
      <c r="AD319" s="7">
        <v>1.0</v>
      </c>
      <c r="AE319" s="3">
        <v>30.0</v>
      </c>
      <c r="AF319" s="3">
        <v>1.0</v>
      </c>
      <c r="AG319" s="3">
        <v>0.0</v>
      </c>
      <c r="AH319" s="3">
        <v>1.0</v>
      </c>
      <c r="AI319" s="3">
        <v>0.0</v>
      </c>
      <c r="AJ319" s="3">
        <v>0.0</v>
      </c>
      <c r="AK319" s="3">
        <v>1.0</v>
      </c>
    </row>
    <row r="320">
      <c r="A320" s="2" t="s">
        <v>37</v>
      </c>
      <c r="B320" s="3">
        <v>36859.0</v>
      </c>
      <c r="C320" s="3" t="s">
        <v>302</v>
      </c>
      <c r="D320" s="3" t="s">
        <v>38</v>
      </c>
      <c r="E320" s="2" t="s">
        <v>72</v>
      </c>
      <c r="F320" s="3">
        <v>73203.0</v>
      </c>
      <c r="G320" s="2" t="s">
        <v>1088</v>
      </c>
      <c r="H320" s="5">
        <v>45461.527592592596</v>
      </c>
      <c r="I320" s="2" t="s">
        <v>296</v>
      </c>
      <c r="J320" s="2" t="s">
        <v>1089</v>
      </c>
      <c r="K320" s="2" t="s">
        <v>81</v>
      </c>
      <c r="L320" s="2" t="s">
        <v>44</v>
      </c>
      <c r="M320" s="2" t="s">
        <v>89</v>
      </c>
      <c r="N320" s="2" t="s">
        <v>298</v>
      </c>
      <c r="O320" s="2" t="s">
        <v>1090</v>
      </c>
      <c r="P320" s="4">
        <v>46176.0</v>
      </c>
      <c r="Q320" s="4">
        <v>46176.0</v>
      </c>
      <c r="R320" s="3">
        <v>1759.0</v>
      </c>
      <c r="S320" s="2" t="s">
        <v>124</v>
      </c>
      <c r="T320" s="2" t="s">
        <v>81</v>
      </c>
      <c r="U320" s="2" t="s">
        <v>82</v>
      </c>
      <c r="V320" s="2" t="s">
        <v>83</v>
      </c>
      <c r="W320" s="2" t="s">
        <v>68</v>
      </c>
      <c r="X320" s="2" t="s">
        <v>69</v>
      </c>
      <c r="Y320" s="2" t="s">
        <v>53</v>
      </c>
      <c r="Z320" s="3">
        <v>7.0</v>
      </c>
      <c r="AA320" s="2" t="s">
        <v>141</v>
      </c>
      <c r="AB320" s="3">
        <v>21.0</v>
      </c>
      <c r="AC320" s="3">
        <v>21.0</v>
      </c>
      <c r="AD320" s="7">
        <v>1.0</v>
      </c>
      <c r="AE320" s="3">
        <v>21.0</v>
      </c>
      <c r="AF320" s="3">
        <v>1.0</v>
      </c>
      <c r="AG320" s="3">
        <v>0.0</v>
      </c>
      <c r="AH320" s="3">
        <v>1.0</v>
      </c>
      <c r="AI320" s="3">
        <v>0.0</v>
      </c>
      <c r="AJ320" s="3">
        <v>0.0</v>
      </c>
      <c r="AK320" s="3">
        <v>1.0</v>
      </c>
    </row>
    <row r="321">
      <c r="A321" s="2" t="s">
        <v>37</v>
      </c>
      <c r="B321" s="3">
        <v>36860.0</v>
      </c>
      <c r="C321" s="3" t="s">
        <v>302</v>
      </c>
      <c r="D321" s="3" t="s">
        <v>38</v>
      </c>
      <c r="E321" s="2" t="s">
        <v>72</v>
      </c>
      <c r="F321" s="3">
        <v>73203.0</v>
      </c>
      <c r="G321" s="2" t="s">
        <v>1088</v>
      </c>
      <c r="H321" s="5">
        <v>45461.527592592596</v>
      </c>
      <c r="I321" s="2" t="s">
        <v>296</v>
      </c>
      <c r="J321" s="2" t="s">
        <v>1089</v>
      </c>
      <c r="K321" s="2" t="s">
        <v>81</v>
      </c>
      <c r="L321" s="2" t="s">
        <v>44</v>
      </c>
      <c r="M321" s="2" t="s">
        <v>89</v>
      </c>
      <c r="N321" s="2" t="s">
        <v>298</v>
      </c>
      <c r="O321" s="2" t="s">
        <v>1090</v>
      </c>
      <c r="P321" s="4">
        <v>46206.0</v>
      </c>
      <c r="Q321" s="4">
        <v>46206.0</v>
      </c>
      <c r="R321" s="3">
        <v>1759.0</v>
      </c>
      <c r="S321" s="2" t="s">
        <v>124</v>
      </c>
      <c r="T321" s="2" t="s">
        <v>81</v>
      </c>
      <c r="U321" s="2" t="s">
        <v>82</v>
      </c>
      <c r="V321" s="2" t="s">
        <v>83</v>
      </c>
      <c r="W321" s="2" t="s">
        <v>68</v>
      </c>
      <c r="X321" s="2" t="s">
        <v>69</v>
      </c>
      <c r="Y321" s="2" t="s">
        <v>53</v>
      </c>
      <c r="Z321" s="3">
        <v>8.0</v>
      </c>
      <c r="AA321" s="2" t="s">
        <v>141</v>
      </c>
      <c r="AB321" s="3">
        <v>30.0</v>
      </c>
      <c r="AC321" s="3">
        <v>30.0</v>
      </c>
      <c r="AD321" s="7">
        <v>1.0</v>
      </c>
      <c r="AE321" s="3">
        <v>30.0</v>
      </c>
      <c r="AF321" s="3">
        <v>1.0</v>
      </c>
      <c r="AG321" s="3">
        <v>0.0</v>
      </c>
      <c r="AH321" s="3">
        <v>1.0</v>
      </c>
      <c r="AI321" s="3">
        <v>0.0</v>
      </c>
      <c r="AJ321" s="3">
        <v>0.0</v>
      </c>
      <c r="AK321" s="3">
        <v>1.0</v>
      </c>
    </row>
    <row r="322">
      <c r="A322" s="2" t="s">
        <v>37</v>
      </c>
      <c r="B322" s="3">
        <v>38969.0</v>
      </c>
      <c r="C322" s="4">
        <v>45666.0</v>
      </c>
      <c r="D322" s="3" t="s">
        <v>38</v>
      </c>
      <c r="E322" s="2" t="s">
        <v>72</v>
      </c>
      <c r="F322" s="3">
        <v>53286.0</v>
      </c>
      <c r="G322" s="2" t="s">
        <v>1091</v>
      </c>
      <c r="H322" s="5">
        <v>44466.24300925926</v>
      </c>
      <c r="I322" s="2" t="s">
        <v>57</v>
      </c>
      <c r="J322" s="2" t="s">
        <v>42</v>
      </c>
      <c r="K322" s="2" t="s">
        <v>43</v>
      </c>
      <c r="L322" s="2" t="s">
        <v>44</v>
      </c>
      <c r="M322" s="2" t="s">
        <v>111</v>
      </c>
      <c r="N322" s="2" t="s">
        <v>1092</v>
      </c>
      <c r="O322" s="2" t="s">
        <v>1093</v>
      </c>
      <c r="P322" s="4">
        <v>46115.0</v>
      </c>
      <c r="Q322" s="4">
        <v>46176.0</v>
      </c>
      <c r="R322" s="3">
        <v>2014.0</v>
      </c>
      <c r="S322" s="2" t="s">
        <v>841</v>
      </c>
      <c r="T322" s="2" t="s">
        <v>43</v>
      </c>
      <c r="U322" s="2" t="s">
        <v>250</v>
      </c>
      <c r="V322" s="2" t="s">
        <v>251</v>
      </c>
      <c r="W322" s="2" t="s">
        <v>51</v>
      </c>
      <c r="X322" s="2" t="s">
        <v>172</v>
      </c>
      <c r="Y322" s="2" t="s">
        <v>53</v>
      </c>
      <c r="Z322" s="3">
        <v>7.0</v>
      </c>
      <c r="AA322" s="2" t="s">
        <v>180</v>
      </c>
      <c r="AB322" s="3">
        <v>26.0</v>
      </c>
      <c r="AC322" s="3">
        <v>26.0</v>
      </c>
      <c r="AD322" s="7">
        <v>0.9615</v>
      </c>
      <c r="AE322" s="3">
        <v>50.0</v>
      </c>
      <c r="AF322" s="3">
        <v>2.0</v>
      </c>
      <c r="AG322" s="3">
        <v>0.0</v>
      </c>
      <c r="AH322" s="3">
        <v>2.0</v>
      </c>
      <c r="AI322" s="3">
        <v>0.0</v>
      </c>
      <c r="AJ322" s="3">
        <v>0.0</v>
      </c>
      <c r="AK322" s="3">
        <v>2.0</v>
      </c>
    </row>
    <row r="323">
      <c r="A323" s="2" t="s">
        <v>37</v>
      </c>
      <c r="B323" s="3">
        <v>36855.0</v>
      </c>
      <c r="C323" s="3" t="s">
        <v>71</v>
      </c>
      <c r="D323" s="3" t="s">
        <v>38</v>
      </c>
      <c r="E323" s="2" t="s">
        <v>72</v>
      </c>
      <c r="F323" s="3">
        <v>77357.0</v>
      </c>
      <c r="G323" s="2" t="s">
        <v>1094</v>
      </c>
      <c r="H323" s="5">
        <v>45580.70311342592</v>
      </c>
      <c r="I323" s="2" t="s">
        <v>296</v>
      </c>
      <c r="J323" s="2" t="s">
        <v>575</v>
      </c>
      <c r="K323" s="2" t="s">
        <v>81</v>
      </c>
      <c r="L323" s="2" t="s">
        <v>44</v>
      </c>
      <c r="M323" s="2" t="s">
        <v>89</v>
      </c>
      <c r="N323" s="2" t="s">
        <v>501</v>
      </c>
      <c r="O323" s="2" t="s">
        <v>1095</v>
      </c>
      <c r="P323" s="4">
        <v>46206.0</v>
      </c>
      <c r="Q323" s="4">
        <v>46206.0</v>
      </c>
      <c r="R323" s="3">
        <v>1763.0</v>
      </c>
      <c r="S323" s="2" t="s">
        <v>325</v>
      </c>
      <c r="T323" s="2" t="s">
        <v>81</v>
      </c>
      <c r="U323" s="2" t="s">
        <v>140</v>
      </c>
      <c r="V323" s="2" t="s">
        <v>83</v>
      </c>
      <c r="W323" s="2" t="s">
        <v>68</v>
      </c>
      <c r="X323" s="2" t="s">
        <v>69</v>
      </c>
      <c r="Y323" s="2" t="s">
        <v>53</v>
      </c>
      <c r="Z323" s="3">
        <v>9.0</v>
      </c>
      <c r="AA323" s="2" t="s">
        <v>84</v>
      </c>
      <c r="AB323" s="3">
        <v>17.0</v>
      </c>
      <c r="AC323" s="3">
        <v>17.0</v>
      </c>
      <c r="AD323" s="7">
        <v>0.8824</v>
      </c>
      <c r="AE323" s="3">
        <v>15.0</v>
      </c>
      <c r="AF323" s="3">
        <v>1.0</v>
      </c>
      <c r="AG323" s="3">
        <v>0.0</v>
      </c>
      <c r="AH323" s="3">
        <v>1.0</v>
      </c>
      <c r="AI323" s="3">
        <v>0.0</v>
      </c>
      <c r="AJ323" s="3">
        <v>0.0</v>
      </c>
      <c r="AK323" s="3">
        <v>1.0</v>
      </c>
    </row>
    <row r="324">
      <c r="A324" s="2" t="s">
        <v>37</v>
      </c>
      <c r="B324" s="3">
        <v>36866.0</v>
      </c>
      <c r="C324" s="3" t="s">
        <v>302</v>
      </c>
      <c r="D324" s="3" t="s">
        <v>38</v>
      </c>
      <c r="E324" s="2" t="s">
        <v>72</v>
      </c>
      <c r="F324" s="3">
        <v>77357.0</v>
      </c>
      <c r="G324" s="2" t="s">
        <v>1094</v>
      </c>
      <c r="H324" s="5">
        <v>45580.70311342592</v>
      </c>
      <c r="I324" s="2" t="s">
        <v>296</v>
      </c>
      <c r="J324" s="2" t="s">
        <v>575</v>
      </c>
      <c r="K324" s="2" t="s">
        <v>81</v>
      </c>
      <c r="L324" s="2" t="s">
        <v>44</v>
      </c>
      <c r="M324" s="2" t="s">
        <v>89</v>
      </c>
      <c r="N324" s="2" t="s">
        <v>501</v>
      </c>
      <c r="O324" s="2" t="s">
        <v>1095</v>
      </c>
      <c r="P324" s="4">
        <v>46176.0</v>
      </c>
      <c r="Q324" s="4">
        <v>46176.0</v>
      </c>
      <c r="R324" s="3">
        <v>1763.0</v>
      </c>
      <c r="S324" s="2" t="s">
        <v>325</v>
      </c>
      <c r="T324" s="2" t="s">
        <v>81</v>
      </c>
      <c r="U324" s="2" t="s">
        <v>140</v>
      </c>
      <c r="V324" s="2" t="s">
        <v>83</v>
      </c>
      <c r="W324" s="2" t="s">
        <v>68</v>
      </c>
      <c r="X324" s="2" t="s">
        <v>69</v>
      </c>
      <c r="Y324" s="2" t="s">
        <v>53</v>
      </c>
      <c r="Z324" s="3">
        <v>7.0</v>
      </c>
      <c r="AA324" s="2" t="s">
        <v>141</v>
      </c>
      <c r="AB324" s="3">
        <v>32.0</v>
      </c>
      <c r="AC324" s="3">
        <v>32.0</v>
      </c>
      <c r="AD324" s="7">
        <v>1.0</v>
      </c>
      <c r="AE324" s="3">
        <v>32.0</v>
      </c>
      <c r="AF324" s="3">
        <v>1.0</v>
      </c>
      <c r="AG324" s="3">
        <v>0.0</v>
      </c>
      <c r="AH324" s="3">
        <v>1.0</v>
      </c>
      <c r="AI324" s="3">
        <v>0.0</v>
      </c>
      <c r="AJ324" s="3">
        <v>0.0</v>
      </c>
      <c r="AK324" s="3">
        <v>1.0</v>
      </c>
    </row>
    <row r="325">
      <c r="A325" s="2" t="s">
        <v>37</v>
      </c>
      <c r="B325" s="3">
        <v>36867.0</v>
      </c>
      <c r="C325" s="3" t="s">
        <v>302</v>
      </c>
      <c r="D325" s="3" t="s">
        <v>38</v>
      </c>
      <c r="E325" s="2" t="s">
        <v>72</v>
      </c>
      <c r="F325" s="3">
        <v>77357.0</v>
      </c>
      <c r="G325" s="2" t="s">
        <v>1094</v>
      </c>
      <c r="H325" s="5">
        <v>45580.70311342592</v>
      </c>
      <c r="I325" s="2" t="s">
        <v>296</v>
      </c>
      <c r="J325" s="2" t="s">
        <v>575</v>
      </c>
      <c r="K325" s="2" t="s">
        <v>81</v>
      </c>
      <c r="L325" s="2" t="s">
        <v>44</v>
      </c>
      <c r="M325" s="2" t="s">
        <v>89</v>
      </c>
      <c r="N325" s="2" t="s">
        <v>501</v>
      </c>
      <c r="O325" s="2" t="s">
        <v>1095</v>
      </c>
      <c r="P325" s="4">
        <v>46206.0</v>
      </c>
      <c r="Q325" s="4">
        <v>46206.0</v>
      </c>
      <c r="R325" s="3">
        <v>1763.0</v>
      </c>
      <c r="S325" s="2" t="s">
        <v>325</v>
      </c>
      <c r="T325" s="2" t="s">
        <v>81</v>
      </c>
      <c r="U325" s="2" t="s">
        <v>140</v>
      </c>
      <c r="V325" s="2" t="s">
        <v>83</v>
      </c>
      <c r="W325" s="2" t="s">
        <v>68</v>
      </c>
      <c r="X325" s="2" t="s">
        <v>69</v>
      </c>
      <c r="Y325" s="2" t="s">
        <v>53</v>
      </c>
      <c r="Z325" s="3">
        <v>8.0</v>
      </c>
      <c r="AA325" s="2" t="s">
        <v>141</v>
      </c>
      <c r="AB325" s="3">
        <v>21.0</v>
      </c>
      <c r="AC325" s="3">
        <v>21.0</v>
      </c>
      <c r="AD325" s="7">
        <v>0.9524</v>
      </c>
      <c r="AE325" s="3">
        <v>20.0</v>
      </c>
      <c r="AF325" s="3">
        <v>1.0</v>
      </c>
      <c r="AG325" s="3">
        <v>0.0</v>
      </c>
      <c r="AH325" s="3">
        <v>1.0</v>
      </c>
      <c r="AI325" s="3">
        <v>0.0</v>
      </c>
      <c r="AJ325" s="3">
        <v>0.0</v>
      </c>
      <c r="AK325" s="3">
        <v>1.0</v>
      </c>
    </row>
    <row r="326">
      <c r="A326" s="2" t="s">
        <v>37</v>
      </c>
      <c r="B326" s="3">
        <v>36976.0</v>
      </c>
      <c r="C326" s="4">
        <v>45662.0</v>
      </c>
      <c r="D326" s="3" t="s">
        <v>38</v>
      </c>
      <c r="E326" s="2" t="s">
        <v>72</v>
      </c>
      <c r="F326" s="3">
        <v>77357.0</v>
      </c>
      <c r="G326" s="2" t="s">
        <v>1094</v>
      </c>
      <c r="H326" s="5">
        <v>45580.70311342592</v>
      </c>
      <c r="I326" s="2" t="s">
        <v>296</v>
      </c>
      <c r="J326" s="2" t="s">
        <v>575</v>
      </c>
      <c r="K326" s="2" t="s">
        <v>81</v>
      </c>
      <c r="L326" s="2" t="s">
        <v>44</v>
      </c>
      <c r="M326" s="2" t="s">
        <v>89</v>
      </c>
      <c r="N326" s="2" t="s">
        <v>501</v>
      </c>
      <c r="O326" s="2" t="s">
        <v>1095</v>
      </c>
      <c r="P326" s="4">
        <v>46176.0</v>
      </c>
      <c r="Q326" s="4">
        <v>46176.0</v>
      </c>
      <c r="R326" s="3">
        <v>1763.0</v>
      </c>
      <c r="S326" s="2" t="s">
        <v>325</v>
      </c>
      <c r="T326" s="2" t="s">
        <v>81</v>
      </c>
      <c r="U326" s="2" t="s">
        <v>140</v>
      </c>
      <c r="V326" s="2" t="s">
        <v>83</v>
      </c>
      <c r="W326" s="2" t="s">
        <v>68</v>
      </c>
      <c r="X326" s="2" t="s">
        <v>69</v>
      </c>
      <c r="Y326" s="2" t="s">
        <v>53</v>
      </c>
      <c r="Z326" s="3">
        <v>6.0</v>
      </c>
      <c r="AA326" s="2" t="s">
        <v>180</v>
      </c>
      <c r="AB326" s="3">
        <v>27.0</v>
      </c>
      <c r="AC326" s="3">
        <v>27.0</v>
      </c>
      <c r="AD326" s="7">
        <v>1.0</v>
      </c>
      <c r="AE326" s="3">
        <v>27.0</v>
      </c>
      <c r="AF326" s="3">
        <v>1.0</v>
      </c>
      <c r="AG326" s="3">
        <v>0.0</v>
      </c>
      <c r="AH326" s="3">
        <v>1.0</v>
      </c>
      <c r="AI326" s="3">
        <v>0.0</v>
      </c>
      <c r="AJ326" s="3">
        <v>0.0</v>
      </c>
      <c r="AK326" s="3">
        <v>1.0</v>
      </c>
    </row>
    <row r="327">
      <c r="A327" s="2" t="s">
        <v>37</v>
      </c>
      <c r="B327" s="3">
        <v>38931.0</v>
      </c>
      <c r="C327" s="4">
        <v>45666.0</v>
      </c>
      <c r="D327" s="3" t="s">
        <v>38</v>
      </c>
      <c r="E327" s="2" t="s">
        <v>72</v>
      </c>
      <c r="F327" s="3">
        <v>79682.0</v>
      </c>
      <c r="G327" s="2" t="s">
        <v>1096</v>
      </c>
      <c r="H327" s="5">
        <v>45671.787777777776</v>
      </c>
      <c r="I327" s="2" t="s">
        <v>57</v>
      </c>
      <c r="J327" s="2" t="s">
        <v>1097</v>
      </c>
      <c r="K327" s="2" t="s">
        <v>65</v>
      </c>
      <c r="L327" s="2" t="s">
        <v>44</v>
      </c>
      <c r="M327" s="2" t="s">
        <v>89</v>
      </c>
      <c r="N327" s="2" t="s">
        <v>1098</v>
      </c>
      <c r="O327" s="2" t="s">
        <v>1099</v>
      </c>
      <c r="P327" s="4">
        <v>46084.0</v>
      </c>
      <c r="Q327" s="4">
        <v>46145.0</v>
      </c>
      <c r="R327" s="3">
        <v>1764.0</v>
      </c>
      <c r="S327" s="2" t="s">
        <v>300</v>
      </c>
      <c r="T327" s="2" t="s">
        <v>81</v>
      </c>
      <c r="U327" s="2" t="s">
        <v>301</v>
      </c>
      <c r="V327" s="2" t="s">
        <v>83</v>
      </c>
      <c r="W327" s="2" t="s">
        <v>68</v>
      </c>
      <c r="X327" s="2" t="s">
        <v>69</v>
      </c>
      <c r="Y327" s="2" t="s">
        <v>53</v>
      </c>
      <c r="Z327" s="3">
        <v>9.0</v>
      </c>
      <c r="AA327" s="2" t="s">
        <v>125</v>
      </c>
      <c r="AB327" s="3">
        <v>22.0</v>
      </c>
      <c r="AC327" s="3">
        <v>22.0</v>
      </c>
      <c r="AD327" s="7">
        <v>1.0</v>
      </c>
      <c r="AE327" s="3">
        <v>44.0</v>
      </c>
      <c r="AF327" s="3">
        <v>2.0</v>
      </c>
      <c r="AG327" s="3">
        <v>0.0</v>
      </c>
      <c r="AH327" s="3">
        <v>1.0</v>
      </c>
      <c r="AI327" s="3">
        <v>1.0</v>
      </c>
      <c r="AJ327" s="3">
        <v>0.0</v>
      </c>
      <c r="AK327" s="3">
        <v>2.0</v>
      </c>
    </row>
    <row r="328">
      <c r="A328" s="2" t="s">
        <v>37</v>
      </c>
      <c r="B328" s="3">
        <v>38828.0</v>
      </c>
      <c r="C328" s="3" t="s">
        <v>106</v>
      </c>
      <c r="D328" s="3" t="s">
        <v>38</v>
      </c>
      <c r="E328" s="2" t="s">
        <v>39</v>
      </c>
      <c r="F328" s="3">
        <v>71477.0</v>
      </c>
      <c r="G328" s="2" t="s">
        <v>1100</v>
      </c>
      <c r="H328" s="5">
        <v>45340.30810185185</v>
      </c>
      <c r="I328" s="2" t="s">
        <v>57</v>
      </c>
      <c r="J328" s="2" t="s">
        <v>42</v>
      </c>
      <c r="K328" s="2" t="s">
        <v>43</v>
      </c>
      <c r="L328" s="2" t="s">
        <v>44</v>
      </c>
      <c r="M328" s="2" t="s">
        <v>183</v>
      </c>
      <c r="N328" s="2" t="s">
        <v>334</v>
      </c>
      <c r="O328" s="2" t="s">
        <v>1101</v>
      </c>
      <c r="P328" s="4">
        <v>46084.0</v>
      </c>
      <c r="Q328" s="4">
        <v>46359.0</v>
      </c>
      <c r="R328" s="3">
        <v>1334.0</v>
      </c>
      <c r="S328" s="2" t="s">
        <v>967</v>
      </c>
      <c r="T328" s="2" t="s">
        <v>110</v>
      </c>
      <c r="U328" s="2" t="s">
        <v>115</v>
      </c>
      <c r="V328" s="2" t="s">
        <v>116</v>
      </c>
      <c r="W328" s="2" t="s">
        <v>51</v>
      </c>
      <c r="X328" s="2" t="s">
        <v>117</v>
      </c>
      <c r="Y328" s="2" t="s">
        <v>53</v>
      </c>
      <c r="Z328" s="3">
        <v>7.0</v>
      </c>
      <c r="AA328" s="2" t="s">
        <v>54</v>
      </c>
      <c r="AB328" s="3">
        <v>33.0</v>
      </c>
      <c r="AC328" s="3">
        <v>33.0</v>
      </c>
      <c r="AD328" s="7">
        <v>1.0</v>
      </c>
      <c r="AE328" s="3">
        <v>132.0</v>
      </c>
      <c r="AF328" s="3">
        <v>4.0</v>
      </c>
      <c r="AG328" s="3">
        <v>0.0</v>
      </c>
      <c r="AH328" s="3">
        <v>4.0</v>
      </c>
      <c r="AI328" s="3">
        <v>0.0</v>
      </c>
      <c r="AJ328" s="3">
        <v>0.0</v>
      </c>
      <c r="AK328" s="3">
        <v>4.0</v>
      </c>
    </row>
    <row r="329">
      <c r="A329" s="2" t="s">
        <v>37</v>
      </c>
      <c r="B329" s="3">
        <v>39798.0</v>
      </c>
      <c r="C329" s="3" t="s">
        <v>165</v>
      </c>
      <c r="D329" s="3" t="s">
        <v>38</v>
      </c>
      <c r="E329" s="2" t="s">
        <v>39</v>
      </c>
      <c r="F329" s="3">
        <v>48315.0</v>
      </c>
      <c r="G329" s="2" t="s">
        <v>1102</v>
      </c>
      <c r="H329" s="5">
        <v>44314.59556712963</v>
      </c>
      <c r="I329" s="2" t="s">
        <v>57</v>
      </c>
      <c r="J329" s="2" t="s">
        <v>1103</v>
      </c>
      <c r="K329" s="2" t="s">
        <v>43</v>
      </c>
      <c r="L329" s="2" t="s">
        <v>44</v>
      </c>
      <c r="M329" s="2" t="s">
        <v>100</v>
      </c>
      <c r="N329" s="2" t="s">
        <v>1104</v>
      </c>
      <c r="O329" s="2" t="s">
        <v>1105</v>
      </c>
      <c r="P329" s="4">
        <v>46329.0</v>
      </c>
      <c r="Q329" s="3" t="s">
        <v>827</v>
      </c>
      <c r="R329" s="3">
        <v>1061.0</v>
      </c>
      <c r="S329" s="2" t="s">
        <v>170</v>
      </c>
      <c r="T329" s="2" t="s">
        <v>43</v>
      </c>
      <c r="U329" s="2" t="s">
        <v>171</v>
      </c>
      <c r="V329" s="2" t="s">
        <v>150</v>
      </c>
      <c r="W329" s="2" t="s">
        <v>51</v>
      </c>
      <c r="X329" s="2" t="s">
        <v>172</v>
      </c>
      <c r="Y329" s="2" t="s">
        <v>53</v>
      </c>
      <c r="Z329" s="3">
        <v>6.0</v>
      </c>
      <c r="AA329" s="2" t="s">
        <v>54</v>
      </c>
      <c r="AB329" s="3">
        <v>26.0</v>
      </c>
      <c r="AC329" s="3">
        <v>26.0</v>
      </c>
      <c r="AD329" s="7">
        <v>0.9872</v>
      </c>
      <c r="AE329" s="3">
        <v>77.0</v>
      </c>
      <c r="AF329" s="3">
        <v>3.0</v>
      </c>
      <c r="AG329" s="3">
        <v>0.0</v>
      </c>
      <c r="AH329" s="3">
        <v>3.0</v>
      </c>
      <c r="AI329" s="3">
        <v>0.0</v>
      </c>
      <c r="AJ329" s="3">
        <v>0.0</v>
      </c>
      <c r="AK329" s="3">
        <v>3.0</v>
      </c>
    </row>
    <row r="330">
      <c r="A330" s="2" t="s">
        <v>37</v>
      </c>
      <c r="B330" s="3">
        <v>38834.0</v>
      </c>
      <c r="C330" s="3" t="s">
        <v>106</v>
      </c>
      <c r="D330" s="3" t="s">
        <v>38</v>
      </c>
      <c r="E330" s="2" t="s">
        <v>39</v>
      </c>
      <c r="F330" s="3">
        <v>53102.0</v>
      </c>
      <c r="G330" s="2" t="s">
        <v>1106</v>
      </c>
      <c r="H330" s="5">
        <v>44456.44974537037</v>
      </c>
      <c r="I330" s="2" t="s">
        <v>57</v>
      </c>
      <c r="J330" s="2" t="s">
        <v>1107</v>
      </c>
      <c r="K330" s="2" t="s">
        <v>663</v>
      </c>
      <c r="L330" s="2" t="s">
        <v>44</v>
      </c>
      <c r="M330" s="2" t="s">
        <v>111</v>
      </c>
      <c r="N330" s="2" t="s">
        <v>1108</v>
      </c>
      <c r="O330" s="2" t="s">
        <v>1109</v>
      </c>
      <c r="P330" s="4">
        <v>46084.0</v>
      </c>
      <c r="Q330" s="4">
        <v>46359.0</v>
      </c>
      <c r="R330" s="3">
        <v>1336.0</v>
      </c>
      <c r="S330" s="2" t="s">
        <v>782</v>
      </c>
      <c r="T330" s="2" t="s">
        <v>110</v>
      </c>
      <c r="U330" s="2" t="s">
        <v>115</v>
      </c>
      <c r="V330" s="2" t="s">
        <v>116</v>
      </c>
      <c r="W330" s="2" t="s">
        <v>51</v>
      </c>
      <c r="X330" s="2" t="s">
        <v>117</v>
      </c>
      <c r="Y330" s="2" t="s">
        <v>53</v>
      </c>
      <c r="Z330" s="3">
        <v>6.0</v>
      </c>
      <c r="AA330" s="2" t="s">
        <v>54</v>
      </c>
      <c r="AB330" s="3">
        <v>41.0</v>
      </c>
      <c r="AC330" s="3">
        <v>41.0</v>
      </c>
      <c r="AD330" s="7">
        <v>1.0</v>
      </c>
      <c r="AE330" s="3">
        <v>164.0</v>
      </c>
      <c r="AF330" s="3">
        <v>4.0</v>
      </c>
      <c r="AG330" s="3">
        <v>0.0</v>
      </c>
      <c r="AH330" s="3">
        <v>4.0</v>
      </c>
      <c r="AI330" s="3">
        <v>0.0</v>
      </c>
      <c r="AJ330" s="3">
        <v>0.0</v>
      </c>
      <c r="AK330" s="3">
        <v>4.0</v>
      </c>
    </row>
    <row r="331">
      <c r="A331" s="2" t="s">
        <v>37</v>
      </c>
      <c r="B331" s="3">
        <v>39838.0</v>
      </c>
      <c r="C331" s="4">
        <v>45728.0</v>
      </c>
      <c r="D331" s="3" t="s">
        <v>38</v>
      </c>
      <c r="E331" s="2" t="s">
        <v>72</v>
      </c>
      <c r="F331" s="3">
        <v>77034.0</v>
      </c>
      <c r="G331" s="2" t="s">
        <v>1110</v>
      </c>
      <c r="H331" s="5">
        <v>45563.82355324074</v>
      </c>
      <c r="I331" s="2" t="s">
        <v>57</v>
      </c>
      <c r="J331" s="2" t="s">
        <v>42</v>
      </c>
      <c r="K331" s="2" t="s">
        <v>43</v>
      </c>
      <c r="L331" s="2" t="s">
        <v>44</v>
      </c>
      <c r="M331" s="2" t="s">
        <v>89</v>
      </c>
      <c r="N331" s="2" t="s">
        <v>1111</v>
      </c>
      <c r="O331" s="2" t="s">
        <v>1112</v>
      </c>
      <c r="P331" s="4">
        <v>46056.0</v>
      </c>
      <c r="Q331" s="4">
        <v>46145.0</v>
      </c>
      <c r="R331" s="3">
        <v>2044.0</v>
      </c>
      <c r="S331" s="2" t="s">
        <v>272</v>
      </c>
      <c r="T331" s="2" t="s">
        <v>43</v>
      </c>
      <c r="U331" s="2" t="s">
        <v>178</v>
      </c>
      <c r="V331" s="2" t="s">
        <v>179</v>
      </c>
      <c r="W331" s="2" t="s">
        <v>68</v>
      </c>
      <c r="X331" s="2" t="s">
        <v>172</v>
      </c>
      <c r="Y331" s="2" t="s">
        <v>53</v>
      </c>
      <c r="Z331" s="3">
        <v>5.0</v>
      </c>
      <c r="AA331" s="2" t="s">
        <v>180</v>
      </c>
      <c r="AB331" s="3">
        <v>38.0</v>
      </c>
      <c r="AC331" s="3">
        <v>38.0</v>
      </c>
      <c r="AD331" s="7">
        <v>0.9342</v>
      </c>
      <c r="AE331" s="3">
        <v>71.0</v>
      </c>
      <c r="AF331" s="3">
        <v>2.0</v>
      </c>
      <c r="AG331" s="3">
        <v>0.0</v>
      </c>
      <c r="AH331" s="3">
        <v>0.0</v>
      </c>
      <c r="AI331" s="3">
        <v>2.0</v>
      </c>
      <c r="AJ331" s="3">
        <v>0.0</v>
      </c>
      <c r="AK331" s="3">
        <v>2.0</v>
      </c>
    </row>
    <row r="332">
      <c r="A332" s="2" t="s">
        <v>37</v>
      </c>
      <c r="B332" s="3">
        <v>36845.0</v>
      </c>
      <c r="C332" s="3" t="s">
        <v>71</v>
      </c>
      <c r="D332" s="3" t="s">
        <v>38</v>
      </c>
      <c r="E332" s="2" t="s">
        <v>72</v>
      </c>
      <c r="F332" s="3">
        <v>79885.0</v>
      </c>
      <c r="G332" s="2" t="s">
        <v>1113</v>
      </c>
      <c r="H332" s="5">
        <v>45683.778136574074</v>
      </c>
      <c r="I332" s="2" t="s">
        <v>57</v>
      </c>
      <c r="J332" s="2" t="s">
        <v>1114</v>
      </c>
      <c r="K332" s="2" t="s">
        <v>1115</v>
      </c>
      <c r="L332" s="2" t="s">
        <v>44</v>
      </c>
      <c r="M332" s="2" t="s">
        <v>60</v>
      </c>
      <c r="N332" s="2" t="s">
        <v>100</v>
      </c>
      <c r="O332" s="2" t="s">
        <v>1116</v>
      </c>
      <c r="P332" s="4">
        <v>46084.0</v>
      </c>
      <c r="Q332" s="4">
        <v>46145.0</v>
      </c>
      <c r="R332" s="3">
        <v>1830.0</v>
      </c>
      <c r="S332" s="2" t="s">
        <v>572</v>
      </c>
      <c r="T332" s="2" t="s">
        <v>81</v>
      </c>
      <c r="U332" s="2" t="s">
        <v>573</v>
      </c>
      <c r="V332" s="2" t="s">
        <v>83</v>
      </c>
      <c r="W332" s="2" t="s">
        <v>68</v>
      </c>
      <c r="X332" s="2" t="s">
        <v>69</v>
      </c>
      <c r="Y332" s="2" t="s">
        <v>53</v>
      </c>
      <c r="Z332" s="3">
        <v>9.0</v>
      </c>
      <c r="AA332" s="2" t="s">
        <v>84</v>
      </c>
      <c r="AB332" s="3">
        <v>27.0</v>
      </c>
      <c r="AC332" s="3">
        <v>27.0</v>
      </c>
      <c r="AD332" s="7">
        <v>0.3333</v>
      </c>
      <c r="AE332" s="3">
        <v>18.0</v>
      </c>
      <c r="AF332" s="3">
        <v>2.0</v>
      </c>
      <c r="AG332" s="3">
        <v>0.0</v>
      </c>
      <c r="AH332" s="3">
        <v>0.0</v>
      </c>
      <c r="AI332" s="3">
        <v>2.0</v>
      </c>
      <c r="AJ332" s="3">
        <v>0.0</v>
      </c>
      <c r="AK332" s="3">
        <v>2.0</v>
      </c>
    </row>
    <row r="333">
      <c r="A333" s="2" t="s">
        <v>37</v>
      </c>
      <c r="B333" s="3">
        <v>38689.0</v>
      </c>
      <c r="C333" s="4">
        <v>45969.0</v>
      </c>
      <c r="D333" s="3" t="s">
        <v>38</v>
      </c>
      <c r="E333" s="2" t="s">
        <v>39</v>
      </c>
      <c r="F333" s="3">
        <v>87259.0</v>
      </c>
      <c r="G333" s="2" t="s">
        <v>1117</v>
      </c>
      <c r="H333" s="5">
        <v>45996.49653935185</v>
      </c>
      <c r="J333" s="2" t="s">
        <v>1118</v>
      </c>
      <c r="K333" s="2" t="s">
        <v>43</v>
      </c>
      <c r="L333" s="2" t="s">
        <v>44</v>
      </c>
      <c r="M333" s="2" t="s">
        <v>111</v>
      </c>
      <c r="N333" s="2" t="s">
        <v>1119</v>
      </c>
      <c r="O333" s="2" t="s">
        <v>1120</v>
      </c>
      <c r="P333" s="4">
        <v>46145.0</v>
      </c>
      <c r="Q333" s="3" t="s">
        <v>393</v>
      </c>
      <c r="R333" s="3">
        <v>1808.0</v>
      </c>
      <c r="S333" s="2" t="s">
        <v>1121</v>
      </c>
      <c r="T333" s="2" t="s">
        <v>59</v>
      </c>
      <c r="U333" s="2" t="s">
        <v>160</v>
      </c>
      <c r="V333" s="2" t="s">
        <v>161</v>
      </c>
      <c r="W333" s="2" t="s">
        <v>51</v>
      </c>
      <c r="X333" s="2" t="s">
        <v>162</v>
      </c>
      <c r="Y333" s="2" t="s">
        <v>53</v>
      </c>
      <c r="Z333" s="3">
        <v>7.0</v>
      </c>
      <c r="AA333" s="2" t="s">
        <v>54</v>
      </c>
      <c r="AB333" s="3">
        <v>49.0</v>
      </c>
      <c r="AC333" s="3">
        <v>49.0</v>
      </c>
      <c r="AD333" s="7">
        <v>1.0</v>
      </c>
      <c r="AE333" s="3">
        <v>392.0</v>
      </c>
      <c r="AF333" s="3">
        <v>8.0</v>
      </c>
      <c r="AG333" s="3">
        <v>0.0</v>
      </c>
      <c r="AH333" s="3">
        <v>8.0</v>
      </c>
      <c r="AI333" s="3">
        <v>0.0</v>
      </c>
      <c r="AJ333" s="3">
        <v>0.0</v>
      </c>
      <c r="AK333" s="3">
        <v>8.0</v>
      </c>
    </row>
    <row r="334">
      <c r="A334" s="2" t="s">
        <v>37</v>
      </c>
      <c r="B334" s="3">
        <v>39171.0</v>
      </c>
      <c r="C334" s="4">
        <v>45697.0</v>
      </c>
      <c r="D334" s="3" t="s">
        <v>38</v>
      </c>
      <c r="E334" s="2" t="s">
        <v>72</v>
      </c>
      <c r="F334" s="3">
        <v>55872.0</v>
      </c>
      <c r="G334" s="2" t="s">
        <v>1122</v>
      </c>
      <c r="H334" s="5">
        <v>44588.05667824074</v>
      </c>
      <c r="I334" s="2" t="s">
        <v>57</v>
      </c>
      <c r="J334" s="2" t="s">
        <v>1123</v>
      </c>
      <c r="K334" s="2" t="s">
        <v>43</v>
      </c>
      <c r="L334" s="2" t="s">
        <v>44</v>
      </c>
      <c r="M334" s="2" t="s">
        <v>403</v>
      </c>
      <c r="N334" s="2" t="s">
        <v>1124</v>
      </c>
      <c r="O334" s="2" t="s">
        <v>1125</v>
      </c>
      <c r="P334" s="4">
        <v>46056.0</v>
      </c>
      <c r="Q334" s="4">
        <v>46115.0</v>
      </c>
      <c r="R334" s="3">
        <v>2015.0</v>
      </c>
      <c r="S334" s="2" t="s">
        <v>249</v>
      </c>
      <c r="T334" s="2" t="s">
        <v>43</v>
      </c>
      <c r="U334" s="2" t="s">
        <v>250</v>
      </c>
      <c r="V334" s="2" t="s">
        <v>251</v>
      </c>
      <c r="W334" s="2" t="s">
        <v>51</v>
      </c>
      <c r="X334" s="2" t="s">
        <v>172</v>
      </c>
      <c r="Y334" s="2" t="s">
        <v>53</v>
      </c>
      <c r="Z334" s="3">
        <v>7.0</v>
      </c>
      <c r="AA334" s="2" t="s">
        <v>180</v>
      </c>
      <c r="AB334" s="3">
        <v>10.0</v>
      </c>
      <c r="AC334" s="3">
        <v>10.0</v>
      </c>
      <c r="AD334" s="7">
        <v>1.0</v>
      </c>
      <c r="AE334" s="3">
        <v>20.0</v>
      </c>
      <c r="AF334" s="3">
        <v>2.0</v>
      </c>
      <c r="AG334" s="3">
        <v>0.0</v>
      </c>
      <c r="AH334" s="3">
        <v>2.0</v>
      </c>
      <c r="AI334" s="3">
        <v>0.0</v>
      </c>
      <c r="AJ334" s="3">
        <v>0.0</v>
      </c>
      <c r="AK334" s="3">
        <v>2.0</v>
      </c>
    </row>
    <row r="335">
      <c r="A335" s="2" t="s">
        <v>37</v>
      </c>
      <c r="B335" s="3">
        <v>40189.0</v>
      </c>
      <c r="C335" s="3" t="s">
        <v>55</v>
      </c>
      <c r="D335" s="3" t="s">
        <v>38</v>
      </c>
      <c r="E335" s="2" t="s">
        <v>39</v>
      </c>
      <c r="F335" s="3">
        <v>88623.0</v>
      </c>
      <c r="G335" s="2" t="s">
        <v>1126</v>
      </c>
      <c r="H335" s="5">
        <v>46066.48982638889</v>
      </c>
      <c r="I335" s="2" t="s">
        <v>98</v>
      </c>
      <c r="J335" s="2" t="s">
        <v>42</v>
      </c>
      <c r="K335" s="2" t="s">
        <v>43</v>
      </c>
      <c r="L335" s="2" t="s">
        <v>44</v>
      </c>
      <c r="M335" s="2" t="s">
        <v>60</v>
      </c>
      <c r="N335" s="2" t="s">
        <v>100</v>
      </c>
      <c r="O335" s="2" t="s">
        <v>1127</v>
      </c>
      <c r="P335" s="4">
        <v>46176.0</v>
      </c>
      <c r="Q335" s="3" t="s">
        <v>63</v>
      </c>
      <c r="R335" s="3">
        <v>1791.0</v>
      </c>
      <c r="S335" s="2" t="s">
        <v>64</v>
      </c>
      <c r="T335" s="2" t="s">
        <v>65</v>
      </c>
      <c r="U335" s="2" t="s">
        <v>66</v>
      </c>
      <c r="V335" s="2" t="s">
        <v>67</v>
      </c>
      <c r="W335" s="2" t="s">
        <v>68</v>
      </c>
      <c r="X335" s="2" t="s">
        <v>69</v>
      </c>
      <c r="Y335" s="2" t="s">
        <v>53</v>
      </c>
      <c r="Z335" s="3">
        <v>7.0</v>
      </c>
      <c r="AA335" s="2" t="s">
        <v>70</v>
      </c>
      <c r="AB335" s="3">
        <v>42.0</v>
      </c>
      <c r="AC335" s="3">
        <v>42.0</v>
      </c>
      <c r="AD335" s="7">
        <v>1.0</v>
      </c>
      <c r="AE335" s="3">
        <v>294.0</v>
      </c>
      <c r="AF335" s="3">
        <v>7.0</v>
      </c>
      <c r="AG335" s="3">
        <v>0.0</v>
      </c>
      <c r="AH335" s="3">
        <v>5.0</v>
      </c>
      <c r="AI335" s="3">
        <v>2.0</v>
      </c>
      <c r="AJ335" s="3">
        <v>0.0</v>
      </c>
      <c r="AK335" s="3">
        <v>7.0</v>
      </c>
    </row>
    <row r="336">
      <c r="A336" s="2" t="s">
        <v>37</v>
      </c>
      <c r="B336" s="3">
        <v>39003.0</v>
      </c>
      <c r="C336" s="3" t="s">
        <v>142</v>
      </c>
      <c r="D336" s="5">
        <v>46112.99998842592</v>
      </c>
      <c r="E336" s="2" t="s">
        <v>39</v>
      </c>
      <c r="F336" s="3">
        <v>82775.0</v>
      </c>
      <c r="G336" s="2" t="s">
        <v>1128</v>
      </c>
      <c r="H336" s="5">
        <v>45842.6403587963</v>
      </c>
      <c r="I336" s="2" t="s">
        <v>57</v>
      </c>
      <c r="J336" s="2" t="s">
        <v>351</v>
      </c>
      <c r="K336" s="2" t="s">
        <v>88</v>
      </c>
      <c r="L336" s="2" t="s">
        <v>44</v>
      </c>
      <c r="M336" s="2" t="s">
        <v>111</v>
      </c>
      <c r="N336" s="2" t="s">
        <v>253</v>
      </c>
      <c r="O336" s="2" t="s">
        <v>1129</v>
      </c>
      <c r="P336" s="4">
        <v>46329.0</v>
      </c>
      <c r="Q336" s="3" t="s">
        <v>147</v>
      </c>
      <c r="R336" s="3">
        <v>1999.0</v>
      </c>
      <c r="S336" s="2" t="s">
        <v>510</v>
      </c>
      <c r="T336" s="2" t="s">
        <v>88</v>
      </c>
      <c r="U336" s="2" t="s">
        <v>149</v>
      </c>
      <c r="V336" s="2" t="s">
        <v>150</v>
      </c>
      <c r="W336" s="2" t="s">
        <v>51</v>
      </c>
      <c r="X336" s="2" t="s">
        <v>96</v>
      </c>
      <c r="Y336" s="2" t="s">
        <v>53</v>
      </c>
      <c r="Z336" s="3">
        <v>7.0</v>
      </c>
      <c r="AA336" s="2" t="s">
        <v>54</v>
      </c>
      <c r="AB336" s="3">
        <v>23.0</v>
      </c>
      <c r="AC336" s="3">
        <v>23.0</v>
      </c>
      <c r="AD336" s="7">
        <v>0.7935</v>
      </c>
      <c r="AE336" s="3">
        <v>73.0</v>
      </c>
      <c r="AF336" s="3">
        <v>4.0</v>
      </c>
      <c r="AG336" s="3">
        <v>0.0</v>
      </c>
      <c r="AH336" s="3">
        <v>2.0</v>
      </c>
      <c r="AI336" s="3">
        <v>2.0</v>
      </c>
      <c r="AJ336" s="3">
        <v>0.0</v>
      </c>
      <c r="AK336" s="3">
        <v>4.0</v>
      </c>
    </row>
    <row r="337">
      <c r="A337" s="2" t="s">
        <v>37</v>
      </c>
      <c r="B337" s="3">
        <v>38929.0</v>
      </c>
      <c r="C337" s="4">
        <v>45666.0</v>
      </c>
      <c r="D337" s="3" t="s">
        <v>38</v>
      </c>
      <c r="E337" s="2" t="s">
        <v>72</v>
      </c>
      <c r="F337" s="3">
        <v>85438.0</v>
      </c>
      <c r="G337" s="2" t="s">
        <v>1130</v>
      </c>
      <c r="H337" s="5">
        <v>45899.932337962964</v>
      </c>
      <c r="I337" s="2" t="s">
        <v>57</v>
      </c>
      <c r="J337" s="2" t="s">
        <v>1131</v>
      </c>
      <c r="K337" s="2" t="s">
        <v>59</v>
      </c>
      <c r="L337" s="2" t="s">
        <v>44</v>
      </c>
      <c r="M337" s="2" t="s">
        <v>111</v>
      </c>
      <c r="N337" s="2" t="s">
        <v>1132</v>
      </c>
      <c r="O337" s="2" t="s">
        <v>1133</v>
      </c>
      <c r="P337" s="4">
        <v>46176.0</v>
      </c>
      <c r="Q337" s="4">
        <v>46206.0</v>
      </c>
      <c r="R337" s="3">
        <v>1762.0</v>
      </c>
      <c r="S337" s="2" t="s">
        <v>139</v>
      </c>
      <c r="T337" s="2" t="s">
        <v>81</v>
      </c>
      <c r="U337" s="2" t="s">
        <v>140</v>
      </c>
      <c r="V337" s="2" t="s">
        <v>83</v>
      </c>
      <c r="W337" s="2" t="s">
        <v>68</v>
      </c>
      <c r="X337" s="2" t="s">
        <v>69</v>
      </c>
      <c r="Y337" s="2" t="s">
        <v>53</v>
      </c>
      <c r="Z337" s="3">
        <v>9.0</v>
      </c>
      <c r="AA337" s="2" t="s">
        <v>125</v>
      </c>
      <c r="AB337" s="3">
        <v>29.0</v>
      </c>
      <c r="AC337" s="3">
        <v>29.0</v>
      </c>
      <c r="AD337" s="7">
        <v>0.9138</v>
      </c>
      <c r="AE337" s="3">
        <v>53.0</v>
      </c>
      <c r="AF337" s="3">
        <v>2.0</v>
      </c>
      <c r="AG337" s="3">
        <v>0.0</v>
      </c>
      <c r="AH337" s="3">
        <v>0.0</v>
      </c>
      <c r="AI337" s="3">
        <v>2.0</v>
      </c>
      <c r="AJ337" s="3">
        <v>0.0</v>
      </c>
      <c r="AK337" s="3">
        <v>2.0</v>
      </c>
    </row>
    <row r="338">
      <c r="A338" s="2" t="s">
        <v>37</v>
      </c>
      <c r="B338" s="3">
        <v>37049.0</v>
      </c>
      <c r="C338" s="3" t="s">
        <v>196</v>
      </c>
      <c r="D338" s="3" t="s">
        <v>38</v>
      </c>
      <c r="E338" s="2" t="s">
        <v>39</v>
      </c>
      <c r="F338" s="3">
        <v>78226.0</v>
      </c>
      <c r="G338" s="2" t="s">
        <v>1134</v>
      </c>
      <c r="H338" s="5">
        <v>45618.53199074074</v>
      </c>
      <c r="I338" s="2" t="s">
        <v>752</v>
      </c>
      <c r="J338" s="2" t="s">
        <v>1135</v>
      </c>
      <c r="K338" s="2" t="s">
        <v>48</v>
      </c>
      <c r="L338" s="2" t="s">
        <v>44</v>
      </c>
      <c r="M338" s="2" t="s">
        <v>403</v>
      </c>
      <c r="N338" s="2" t="s">
        <v>716</v>
      </c>
      <c r="O338" s="2" t="s">
        <v>1136</v>
      </c>
      <c r="P338" s="4">
        <v>46115.0</v>
      </c>
      <c r="Q338" s="4">
        <v>46329.0</v>
      </c>
      <c r="R338" s="3">
        <v>1711.0</v>
      </c>
      <c r="S338" s="2" t="s">
        <v>344</v>
      </c>
      <c r="T338" s="2" t="s">
        <v>48</v>
      </c>
      <c r="U338" s="2" t="s">
        <v>49</v>
      </c>
      <c r="V338" s="2" t="s">
        <v>50</v>
      </c>
      <c r="W338" s="2" t="s">
        <v>51</v>
      </c>
      <c r="X338" s="2" t="s">
        <v>52</v>
      </c>
      <c r="Y338" s="2" t="s">
        <v>53</v>
      </c>
      <c r="Z338" s="3">
        <v>6.0</v>
      </c>
      <c r="AA338" s="2" t="s">
        <v>54</v>
      </c>
      <c r="AB338" s="3">
        <v>16.0</v>
      </c>
      <c r="AC338" s="3">
        <v>16.0</v>
      </c>
      <c r="AD338" s="7">
        <v>0.8958</v>
      </c>
      <c r="AE338" s="3">
        <v>43.0</v>
      </c>
      <c r="AF338" s="3">
        <v>3.0</v>
      </c>
      <c r="AG338" s="3">
        <v>0.0</v>
      </c>
      <c r="AH338" s="3">
        <v>3.0</v>
      </c>
      <c r="AI338" s="3">
        <v>0.0</v>
      </c>
      <c r="AJ338" s="3">
        <v>0.0</v>
      </c>
      <c r="AK338" s="3">
        <v>3.0</v>
      </c>
    </row>
    <row r="339">
      <c r="A339" s="2" t="s">
        <v>37</v>
      </c>
      <c r="B339" s="3">
        <v>39102.0</v>
      </c>
      <c r="C339" s="3" t="s">
        <v>303</v>
      </c>
      <c r="D339" s="3" t="s">
        <v>38</v>
      </c>
      <c r="E339" s="2" t="s">
        <v>39</v>
      </c>
      <c r="F339" s="3">
        <v>83497.0</v>
      </c>
      <c r="G339" s="2" t="s">
        <v>1137</v>
      </c>
      <c r="H339" s="5">
        <v>45853.65923611111</v>
      </c>
      <c r="I339" s="2" t="s">
        <v>108</v>
      </c>
      <c r="J339" s="2" t="s">
        <v>1138</v>
      </c>
      <c r="K339" s="2" t="s">
        <v>110</v>
      </c>
      <c r="L339" s="2" t="s">
        <v>44</v>
      </c>
      <c r="M339" s="2" t="s">
        <v>111</v>
      </c>
      <c r="N339" s="2" t="s">
        <v>1139</v>
      </c>
      <c r="O339" s="2" t="s">
        <v>1140</v>
      </c>
      <c r="P339" s="4">
        <v>46115.0</v>
      </c>
      <c r="Q339" s="3" t="s">
        <v>194</v>
      </c>
      <c r="R339" s="3">
        <v>1703.0</v>
      </c>
      <c r="S339" s="2" t="s">
        <v>307</v>
      </c>
      <c r="T339" s="2" t="s">
        <v>110</v>
      </c>
      <c r="U339" s="2" t="s">
        <v>187</v>
      </c>
      <c r="V339" s="2" t="s">
        <v>116</v>
      </c>
      <c r="W339" s="2" t="s">
        <v>51</v>
      </c>
      <c r="X339" s="2" t="s">
        <v>117</v>
      </c>
      <c r="Y339" s="2" t="s">
        <v>188</v>
      </c>
      <c r="Z339" s="3">
        <v>7.0</v>
      </c>
      <c r="AA339" s="2" t="s">
        <v>164</v>
      </c>
      <c r="AB339" s="3">
        <v>15.0</v>
      </c>
      <c r="AC339" s="3">
        <v>14.0</v>
      </c>
      <c r="AD339" s="7">
        <v>1.0</v>
      </c>
      <c r="AE339" s="3">
        <v>56.0</v>
      </c>
      <c r="AF339" s="3">
        <v>4.0</v>
      </c>
      <c r="AG339" s="3">
        <v>0.0</v>
      </c>
      <c r="AH339" s="3">
        <v>4.0</v>
      </c>
      <c r="AI339" s="3">
        <v>0.0</v>
      </c>
      <c r="AJ339" s="3">
        <v>0.0</v>
      </c>
      <c r="AK339" s="3">
        <v>4.0</v>
      </c>
    </row>
    <row r="340">
      <c r="A340" s="2" t="s">
        <v>37</v>
      </c>
      <c r="B340" s="3">
        <v>40194.0</v>
      </c>
      <c r="C340" s="3" t="s">
        <v>55</v>
      </c>
      <c r="D340" s="3" t="s">
        <v>38</v>
      </c>
      <c r="E340" s="2" t="s">
        <v>39</v>
      </c>
      <c r="F340" s="3">
        <v>88787.0</v>
      </c>
      <c r="G340" s="2" t="s">
        <v>1141</v>
      </c>
      <c r="H340" s="5">
        <v>46075.47232638889</v>
      </c>
      <c r="I340" s="2" t="s">
        <v>57</v>
      </c>
      <c r="J340" s="2" t="s">
        <v>275</v>
      </c>
      <c r="K340" s="2" t="s">
        <v>59</v>
      </c>
      <c r="L340" s="2" t="s">
        <v>44</v>
      </c>
      <c r="M340" s="2" t="s">
        <v>403</v>
      </c>
      <c r="N340" s="2" t="s">
        <v>1142</v>
      </c>
      <c r="O340" s="2" t="s">
        <v>1143</v>
      </c>
      <c r="P340" s="3" t="s">
        <v>194</v>
      </c>
      <c r="Q340" s="3" t="s">
        <v>63</v>
      </c>
      <c r="R340" s="3">
        <v>1774.0</v>
      </c>
      <c r="S340" s="2" t="s">
        <v>131</v>
      </c>
      <c r="T340" s="2" t="s">
        <v>65</v>
      </c>
      <c r="U340" s="2" t="s">
        <v>104</v>
      </c>
      <c r="V340" s="2" t="s">
        <v>67</v>
      </c>
      <c r="W340" s="2" t="s">
        <v>68</v>
      </c>
      <c r="X340" s="2" t="s">
        <v>69</v>
      </c>
      <c r="Y340" s="2" t="s">
        <v>53</v>
      </c>
      <c r="Z340" s="3">
        <v>7.0</v>
      </c>
      <c r="AA340" s="2" t="s">
        <v>70</v>
      </c>
      <c r="AB340" s="3">
        <v>31.0</v>
      </c>
      <c r="AC340" s="3">
        <v>31.0</v>
      </c>
      <c r="AD340" s="7">
        <v>0.9484</v>
      </c>
      <c r="AE340" s="3">
        <v>147.0</v>
      </c>
      <c r="AF340" s="3">
        <v>5.0</v>
      </c>
      <c r="AG340" s="3">
        <v>0.0</v>
      </c>
      <c r="AH340" s="3">
        <v>5.0</v>
      </c>
      <c r="AI340" s="3">
        <v>0.0</v>
      </c>
      <c r="AJ340" s="3">
        <v>0.0</v>
      </c>
      <c r="AK340" s="3">
        <v>5.0</v>
      </c>
    </row>
    <row r="341">
      <c r="A341" s="2" t="s">
        <v>37</v>
      </c>
      <c r="B341" s="3">
        <v>39078.0</v>
      </c>
      <c r="C341" s="4">
        <v>45666.0</v>
      </c>
      <c r="D341" s="3" t="s">
        <v>38</v>
      </c>
      <c r="E341" s="2" t="s">
        <v>72</v>
      </c>
      <c r="F341" s="3">
        <v>50974.0</v>
      </c>
      <c r="G341" s="2" t="s">
        <v>1144</v>
      </c>
      <c r="H341" s="5">
        <v>44380.007997685185</v>
      </c>
      <c r="I341" s="2" t="s">
        <v>57</v>
      </c>
      <c r="J341" s="2" t="s">
        <v>1118</v>
      </c>
      <c r="K341" s="2" t="s">
        <v>43</v>
      </c>
      <c r="L341" s="2" t="s">
        <v>44</v>
      </c>
      <c r="M341" s="2" t="s">
        <v>45</v>
      </c>
      <c r="N341" s="2" t="s">
        <v>1145</v>
      </c>
      <c r="O341" s="2" t="s">
        <v>1146</v>
      </c>
      <c r="P341" s="4">
        <v>46115.0</v>
      </c>
      <c r="Q341" s="3" t="s">
        <v>63</v>
      </c>
      <c r="R341" s="3">
        <v>1955.0</v>
      </c>
      <c r="S341" s="2" t="s">
        <v>911</v>
      </c>
      <c r="T341" s="2" t="s">
        <v>43</v>
      </c>
      <c r="U341" s="2" t="s">
        <v>433</v>
      </c>
      <c r="V341" s="2" t="s">
        <v>434</v>
      </c>
      <c r="W341" s="2" t="s">
        <v>51</v>
      </c>
      <c r="X341" s="2" t="s">
        <v>172</v>
      </c>
      <c r="Y341" s="2" t="s">
        <v>53</v>
      </c>
      <c r="Z341" s="3">
        <v>9.0</v>
      </c>
      <c r="AA341" s="2" t="s">
        <v>54</v>
      </c>
      <c r="AB341" s="3">
        <v>14.0</v>
      </c>
      <c r="AC341" s="3">
        <v>14.0</v>
      </c>
      <c r="AD341" s="7">
        <v>0.8571</v>
      </c>
      <c r="AE341" s="3">
        <v>48.0</v>
      </c>
      <c r="AF341" s="3">
        <v>4.0</v>
      </c>
      <c r="AG341" s="3">
        <v>0.0</v>
      </c>
      <c r="AH341" s="3">
        <v>2.0</v>
      </c>
      <c r="AI341" s="3">
        <v>2.0</v>
      </c>
      <c r="AJ341" s="3">
        <v>0.0</v>
      </c>
      <c r="AK341" s="3">
        <v>4.0</v>
      </c>
    </row>
    <row r="342">
      <c r="A342" s="2" t="s">
        <v>37</v>
      </c>
      <c r="B342" s="3">
        <v>37052.0</v>
      </c>
      <c r="C342" s="3" t="s">
        <v>196</v>
      </c>
      <c r="D342" s="3" t="s">
        <v>38</v>
      </c>
      <c r="E342" s="2" t="s">
        <v>39</v>
      </c>
      <c r="F342" s="3">
        <v>66470.0</v>
      </c>
      <c r="G342" s="2" t="s">
        <v>1147</v>
      </c>
      <c r="H342" s="5">
        <v>45118.001597222225</v>
      </c>
      <c r="I342" s="2" t="s">
        <v>1148</v>
      </c>
      <c r="J342" s="2" t="s">
        <v>275</v>
      </c>
      <c r="K342" s="2" t="s">
        <v>59</v>
      </c>
      <c r="L342" s="2" t="s">
        <v>44</v>
      </c>
      <c r="M342" s="2" t="s">
        <v>89</v>
      </c>
      <c r="N342" s="2" t="s">
        <v>157</v>
      </c>
      <c r="O342" s="2" t="s">
        <v>1149</v>
      </c>
      <c r="P342" s="4">
        <v>46056.0</v>
      </c>
      <c r="Q342" s="4">
        <v>46298.0</v>
      </c>
      <c r="R342" s="3">
        <v>1711.0</v>
      </c>
      <c r="S342" s="2" t="s">
        <v>344</v>
      </c>
      <c r="T342" s="2" t="s">
        <v>48</v>
      </c>
      <c r="U342" s="2" t="s">
        <v>49</v>
      </c>
      <c r="V342" s="2" t="s">
        <v>50</v>
      </c>
      <c r="W342" s="2" t="s">
        <v>51</v>
      </c>
      <c r="X342" s="2" t="s">
        <v>52</v>
      </c>
      <c r="Y342" s="2" t="s">
        <v>53</v>
      </c>
      <c r="Z342" s="3">
        <v>7.0</v>
      </c>
      <c r="AA342" s="2" t="s">
        <v>164</v>
      </c>
      <c r="AB342" s="3">
        <v>23.0</v>
      </c>
      <c r="AC342" s="3">
        <v>21.0</v>
      </c>
      <c r="AD342" s="7">
        <v>0.9683</v>
      </c>
      <c r="AE342" s="3">
        <v>61.0</v>
      </c>
      <c r="AF342" s="3">
        <v>3.0</v>
      </c>
      <c r="AG342" s="3">
        <v>0.0</v>
      </c>
      <c r="AH342" s="3">
        <v>3.0</v>
      </c>
      <c r="AI342" s="3">
        <v>0.0</v>
      </c>
      <c r="AJ342" s="3">
        <v>0.0</v>
      </c>
      <c r="AK342" s="3">
        <v>3.0</v>
      </c>
    </row>
    <row r="343">
      <c r="A343" s="2" t="s">
        <v>37</v>
      </c>
      <c r="B343" s="3">
        <v>39831.0</v>
      </c>
      <c r="C343" s="4">
        <v>45728.0</v>
      </c>
      <c r="D343" s="3" t="s">
        <v>38</v>
      </c>
      <c r="E343" s="2" t="s">
        <v>72</v>
      </c>
      <c r="F343" s="3">
        <v>32470.0</v>
      </c>
      <c r="G343" s="2" t="s">
        <v>1150</v>
      </c>
      <c r="H343" s="5">
        <v>43856.887453703705</v>
      </c>
      <c r="I343" s="2" t="s">
        <v>57</v>
      </c>
      <c r="J343" s="2" t="s">
        <v>42</v>
      </c>
      <c r="K343" s="2" t="s">
        <v>43</v>
      </c>
      <c r="L343" s="2" t="s">
        <v>44</v>
      </c>
      <c r="M343" s="2" t="s">
        <v>327</v>
      </c>
      <c r="N343" s="2" t="s">
        <v>157</v>
      </c>
      <c r="O343" s="2" t="s">
        <v>1151</v>
      </c>
      <c r="P343" s="4">
        <v>46056.0</v>
      </c>
      <c r="Q343" s="4">
        <v>46084.0</v>
      </c>
      <c r="R343" s="3">
        <v>2046.0</v>
      </c>
      <c r="S343" s="2" t="s">
        <v>177</v>
      </c>
      <c r="T343" s="2" t="s">
        <v>43</v>
      </c>
      <c r="U343" s="2" t="s">
        <v>178</v>
      </c>
      <c r="V343" s="2" t="s">
        <v>179</v>
      </c>
      <c r="W343" s="2" t="s">
        <v>68</v>
      </c>
      <c r="X343" s="2" t="s">
        <v>172</v>
      </c>
      <c r="Y343" s="2" t="s">
        <v>53</v>
      </c>
      <c r="Z343" s="3">
        <v>5.0</v>
      </c>
      <c r="AA343" s="2" t="s">
        <v>180</v>
      </c>
      <c r="AB343" s="3">
        <v>13.0</v>
      </c>
      <c r="AC343" s="3">
        <v>13.0</v>
      </c>
      <c r="AD343" s="7">
        <v>1.0</v>
      </c>
      <c r="AE343" s="3">
        <v>26.0</v>
      </c>
      <c r="AF343" s="3">
        <v>2.0</v>
      </c>
      <c r="AG343" s="3">
        <v>0.0</v>
      </c>
      <c r="AH343" s="3">
        <v>2.0</v>
      </c>
      <c r="AI343" s="3">
        <v>0.0</v>
      </c>
      <c r="AJ343" s="3">
        <v>0.0</v>
      </c>
      <c r="AK343" s="3">
        <v>2.0</v>
      </c>
    </row>
    <row r="344">
      <c r="A344" s="2" t="s">
        <v>37</v>
      </c>
      <c r="B344" s="3">
        <v>38967.0</v>
      </c>
      <c r="C344" s="4">
        <v>45666.0</v>
      </c>
      <c r="D344" s="3" t="s">
        <v>38</v>
      </c>
      <c r="E344" s="2" t="s">
        <v>72</v>
      </c>
      <c r="F344" s="3">
        <v>77229.0</v>
      </c>
      <c r="G344" s="2" t="s">
        <v>1152</v>
      </c>
      <c r="H344" s="5">
        <v>45572.85292824074</v>
      </c>
      <c r="I344" s="2" t="s">
        <v>57</v>
      </c>
      <c r="J344" s="2" t="s">
        <v>42</v>
      </c>
      <c r="K344" s="2" t="s">
        <v>43</v>
      </c>
      <c r="L344" s="2" t="s">
        <v>44</v>
      </c>
      <c r="M344" s="2" t="s">
        <v>89</v>
      </c>
      <c r="N344" s="2" t="s">
        <v>400</v>
      </c>
      <c r="O344" s="2" t="s">
        <v>1153</v>
      </c>
      <c r="P344" s="4">
        <v>46115.0</v>
      </c>
      <c r="Q344" s="4">
        <v>46145.0</v>
      </c>
      <c r="R344" s="3">
        <v>2013.0</v>
      </c>
      <c r="S344" s="2" t="s">
        <v>376</v>
      </c>
      <c r="T344" s="2" t="s">
        <v>43</v>
      </c>
      <c r="U344" s="2" t="s">
        <v>178</v>
      </c>
      <c r="V344" s="2" t="s">
        <v>251</v>
      </c>
      <c r="W344" s="2" t="s">
        <v>51</v>
      </c>
      <c r="X344" s="2" t="s">
        <v>172</v>
      </c>
      <c r="Y344" s="2" t="s">
        <v>53</v>
      </c>
      <c r="Z344" s="3">
        <v>7.0</v>
      </c>
      <c r="AA344" s="2" t="s">
        <v>180</v>
      </c>
      <c r="AB344" s="3">
        <v>26.0</v>
      </c>
      <c r="AC344" s="3">
        <v>26.0</v>
      </c>
      <c r="AD344" s="7">
        <v>0.8654</v>
      </c>
      <c r="AE344" s="3">
        <v>45.0</v>
      </c>
      <c r="AF344" s="3">
        <v>2.0</v>
      </c>
      <c r="AG344" s="3">
        <v>0.0</v>
      </c>
      <c r="AH344" s="3">
        <v>2.0</v>
      </c>
      <c r="AI344" s="3">
        <v>0.0</v>
      </c>
      <c r="AJ344" s="3">
        <v>0.0</v>
      </c>
      <c r="AK344" s="3">
        <v>2.0</v>
      </c>
    </row>
    <row r="345">
      <c r="A345" s="2" t="s">
        <v>37</v>
      </c>
      <c r="B345" s="3">
        <v>39665.0</v>
      </c>
      <c r="C345" s="4">
        <v>45668.0</v>
      </c>
      <c r="D345" s="3" t="s">
        <v>38</v>
      </c>
      <c r="E345" s="2" t="s">
        <v>1154</v>
      </c>
      <c r="F345" s="3">
        <v>84862.0</v>
      </c>
      <c r="G345" s="2" t="s">
        <v>1155</v>
      </c>
      <c r="H345" s="5">
        <v>45887.567407407405</v>
      </c>
      <c r="I345" s="2" t="s">
        <v>499</v>
      </c>
      <c r="J345" s="2" t="s">
        <v>42</v>
      </c>
      <c r="K345" s="2" t="s">
        <v>43</v>
      </c>
      <c r="L345" s="2" t="s">
        <v>44</v>
      </c>
      <c r="M345" s="2" t="s">
        <v>403</v>
      </c>
      <c r="N345" s="2" t="s">
        <v>242</v>
      </c>
      <c r="O345" s="2" t="s">
        <v>1156</v>
      </c>
      <c r="P345" s="4">
        <v>46084.0</v>
      </c>
      <c r="Q345" s="4">
        <v>46084.0</v>
      </c>
      <c r="R345" s="3">
        <v>2013.0</v>
      </c>
      <c r="S345" s="2" t="s">
        <v>376</v>
      </c>
      <c r="T345" s="2" t="s">
        <v>43</v>
      </c>
      <c r="U345" s="2" t="s">
        <v>178</v>
      </c>
      <c r="V345" s="2" t="s">
        <v>251</v>
      </c>
      <c r="W345" s="2" t="s">
        <v>51</v>
      </c>
      <c r="X345" s="2" t="s">
        <v>172</v>
      </c>
      <c r="Y345" s="2" t="s">
        <v>53</v>
      </c>
      <c r="Z345" s="3">
        <v>5.0</v>
      </c>
      <c r="AA345" s="2" t="s">
        <v>180</v>
      </c>
      <c r="AB345" s="3">
        <v>25.0</v>
      </c>
      <c r="AC345" s="3">
        <v>25.0</v>
      </c>
      <c r="AD345" s="7">
        <v>0.88</v>
      </c>
      <c r="AE345" s="3">
        <v>22.0</v>
      </c>
      <c r="AF345" s="3">
        <v>1.0</v>
      </c>
      <c r="AG345" s="3">
        <v>0.0</v>
      </c>
      <c r="AH345" s="3">
        <v>1.0</v>
      </c>
      <c r="AI345" s="3">
        <v>0.0</v>
      </c>
      <c r="AJ345" s="3">
        <v>0.0</v>
      </c>
      <c r="AK345" s="3">
        <v>1.0</v>
      </c>
    </row>
    <row r="346">
      <c r="A346" s="2" t="s">
        <v>37</v>
      </c>
      <c r="B346" s="3">
        <v>39666.0</v>
      </c>
      <c r="C346" s="4">
        <v>45668.0</v>
      </c>
      <c r="D346" s="3" t="s">
        <v>38</v>
      </c>
      <c r="E346" s="2" t="s">
        <v>72</v>
      </c>
      <c r="F346" s="3">
        <v>84862.0</v>
      </c>
      <c r="G346" s="2" t="s">
        <v>1155</v>
      </c>
      <c r="H346" s="5">
        <v>45887.567407407405</v>
      </c>
      <c r="I346" s="2" t="s">
        <v>499</v>
      </c>
      <c r="J346" s="2" t="s">
        <v>42</v>
      </c>
      <c r="K346" s="2" t="s">
        <v>43</v>
      </c>
      <c r="L346" s="2" t="s">
        <v>44</v>
      </c>
      <c r="M346" s="2" t="s">
        <v>403</v>
      </c>
      <c r="N346" s="2" t="s">
        <v>242</v>
      </c>
      <c r="O346" s="2" t="s">
        <v>1156</v>
      </c>
      <c r="P346" s="4">
        <v>46115.0</v>
      </c>
      <c r="Q346" s="4">
        <v>46115.0</v>
      </c>
      <c r="R346" s="3">
        <v>2013.0</v>
      </c>
      <c r="S346" s="2" t="s">
        <v>376</v>
      </c>
      <c r="T346" s="2" t="s">
        <v>43</v>
      </c>
      <c r="U346" s="2" t="s">
        <v>178</v>
      </c>
      <c r="V346" s="2" t="s">
        <v>251</v>
      </c>
      <c r="W346" s="2" t="s">
        <v>51</v>
      </c>
      <c r="X346" s="2" t="s">
        <v>172</v>
      </c>
      <c r="Y346" s="2" t="s">
        <v>53</v>
      </c>
      <c r="Z346" s="3">
        <v>6.0</v>
      </c>
      <c r="AA346" s="2" t="s">
        <v>180</v>
      </c>
      <c r="AB346" s="3">
        <v>16.0</v>
      </c>
      <c r="AC346" s="3">
        <v>16.0</v>
      </c>
      <c r="AD346" s="7">
        <v>0.875</v>
      </c>
      <c r="AE346" s="3">
        <v>14.0</v>
      </c>
      <c r="AF346" s="3">
        <v>1.0</v>
      </c>
      <c r="AG346" s="3">
        <v>0.0</v>
      </c>
      <c r="AH346" s="3">
        <v>1.0</v>
      </c>
      <c r="AI346" s="3">
        <v>0.0</v>
      </c>
      <c r="AJ346" s="3">
        <v>0.0</v>
      </c>
      <c r="AK346" s="3">
        <v>1.0</v>
      </c>
    </row>
    <row r="347">
      <c r="A347" s="2" t="s">
        <v>37</v>
      </c>
      <c r="B347" s="3">
        <v>39667.0</v>
      </c>
      <c r="C347" s="4">
        <v>45668.0</v>
      </c>
      <c r="D347" s="3" t="s">
        <v>38</v>
      </c>
      <c r="E347" s="2" t="s">
        <v>72</v>
      </c>
      <c r="F347" s="3">
        <v>84862.0</v>
      </c>
      <c r="G347" s="2" t="s">
        <v>1155</v>
      </c>
      <c r="H347" s="5">
        <v>45887.567407407405</v>
      </c>
      <c r="I347" s="2" t="s">
        <v>499</v>
      </c>
      <c r="J347" s="2" t="s">
        <v>42</v>
      </c>
      <c r="K347" s="2" t="s">
        <v>43</v>
      </c>
      <c r="L347" s="2" t="s">
        <v>44</v>
      </c>
      <c r="M347" s="2" t="s">
        <v>403</v>
      </c>
      <c r="N347" s="2" t="s">
        <v>242</v>
      </c>
      <c r="O347" s="2" t="s">
        <v>1156</v>
      </c>
      <c r="P347" s="4">
        <v>46145.0</v>
      </c>
      <c r="Q347" s="4">
        <v>46145.0</v>
      </c>
      <c r="R347" s="3">
        <v>2013.0</v>
      </c>
      <c r="S347" s="2" t="s">
        <v>376</v>
      </c>
      <c r="T347" s="2" t="s">
        <v>43</v>
      </c>
      <c r="U347" s="2" t="s">
        <v>178</v>
      </c>
      <c r="V347" s="2" t="s">
        <v>251</v>
      </c>
      <c r="W347" s="2" t="s">
        <v>51</v>
      </c>
      <c r="X347" s="2" t="s">
        <v>172</v>
      </c>
      <c r="Y347" s="2" t="s">
        <v>53</v>
      </c>
      <c r="Z347" s="3">
        <v>7.0</v>
      </c>
      <c r="AA347" s="2" t="s">
        <v>180</v>
      </c>
      <c r="AB347" s="3">
        <v>26.0</v>
      </c>
      <c r="AC347" s="3">
        <v>26.0</v>
      </c>
      <c r="AD347" s="7">
        <v>0.8846</v>
      </c>
      <c r="AE347" s="3">
        <v>23.0</v>
      </c>
      <c r="AF347" s="3">
        <v>1.0</v>
      </c>
      <c r="AG347" s="3">
        <v>0.0</v>
      </c>
      <c r="AH347" s="3">
        <v>1.0</v>
      </c>
      <c r="AI347" s="3">
        <v>0.0</v>
      </c>
      <c r="AJ347" s="3">
        <v>0.0</v>
      </c>
      <c r="AK347" s="3">
        <v>1.0</v>
      </c>
    </row>
    <row r="348">
      <c r="A348" s="2" t="s">
        <v>37</v>
      </c>
      <c r="B348" s="3">
        <v>39775.0</v>
      </c>
      <c r="C348" s="4">
        <v>45668.0</v>
      </c>
      <c r="D348" s="3" t="s">
        <v>38</v>
      </c>
      <c r="E348" s="2" t="s">
        <v>72</v>
      </c>
      <c r="F348" s="3">
        <v>84862.0</v>
      </c>
      <c r="G348" s="2" t="s">
        <v>1155</v>
      </c>
      <c r="H348" s="5">
        <v>45887.567407407405</v>
      </c>
      <c r="I348" s="2" t="s">
        <v>499</v>
      </c>
      <c r="J348" s="2" t="s">
        <v>42</v>
      </c>
      <c r="K348" s="2" t="s">
        <v>43</v>
      </c>
      <c r="L348" s="2" t="s">
        <v>44</v>
      </c>
      <c r="M348" s="2" t="s">
        <v>403</v>
      </c>
      <c r="N348" s="2" t="s">
        <v>242</v>
      </c>
      <c r="O348" s="2" t="s">
        <v>1156</v>
      </c>
      <c r="P348" s="4">
        <v>46206.0</v>
      </c>
      <c r="Q348" s="4">
        <v>46206.0</v>
      </c>
      <c r="R348" s="3">
        <v>2013.0</v>
      </c>
      <c r="S348" s="2" t="s">
        <v>376</v>
      </c>
      <c r="T348" s="2" t="s">
        <v>43</v>
      </c>
      <c r="U348" s="2" t="s">
        <v>178</v>
      </c>
      <c r="V348" s="2" t="s">
        <v>251</v>
      </c>
      <c r="W348" s="2" t="s">
        <v>51</v>
      </c>
      <c r="X348" s="2" t="s">
        <v>172</v>
      </c>
      <c r="Y348" s="2" t="s">
        <v>53</v>
      </c>
      <c r="Z348" s="3">
        <v>5.0</v>
      </c>
      <c r="AA348" s="2" t="s">
        <v>180</v>
      </c>
      <c r="AB348" s="3">
        <v>25.0</v>
      </c>
      <c r="AC348" s="3">
        <v>25.0</v>
      </c>
      <c r="AD348" s="7">
        <v>0.84</v>
      </c>
      <c r="AE348" s="3">
        <v>21.0</v>
      </c>
      <c r="AF348" s="3">
        <v>1.0</v>
      </c>
      <c r="AG348" s="3">
        <v>0.0</v>
      </c>
      <c r="AH348" s="3">
        <v>1.0</v>
      </c>
      <c r="AI348" s="3">
        <v>0.0</v>
      </c>
      <c r="AJ348" s="3">
        <v>0.0</v>
      </c>
      <c r="AK348" s="3">
        <v>1.0</v>
      </c>
    </row>
    <row r="349">
      <c r="A349" s="2" t="s">
        <v>37</v>
      </c>
      <c r="B349" s="3">
        <v>39836.0</v>
      </c>
      <c r="C349" s="4">
        <v>45728.0</v>
      </c>
      <c r="D349" s="3" t="s">
        <v>38</v>
      </c>
      <c r="E349" s="2" t="s">
        <v>72</v>
      </c>
      <c r="F349" s="3">
        <v>87077.0</v>
      </c>
      <c r="G349" s="2" t="s">
        <v>1157</v>
      </c>
      <c r="H349" s="5">
        <v>45987.80550925926</v>
      </c>
      <c r="I349" s="2" t="s">
        <v>57</v>
      </c>
      <c r="J349" s="2" t="s">
        <v>1158</v>
      </c>
      <c r="K349" s="2" t="s">
        <v>1158</v>
      </c>
      <c r="L349" s="2" t="s">
        <v>1159</v>
      </c>
      <c r="M349" s="2" t="s">
        <v>89</v>
      </c>
      <c r="N349" s="2" t="s">
        <v>1160</v>
      </c>
      <c r="O349" s="2" t="s">
        <v>1161</v>
      </c>
      <c r="P349" s="4">
        <v>46115.0</v>
      </c>
      <c r="Q349" s="4">
        <v>46206.0</v>
      </c>
      <c r="R349" s="3">
        <v>2045.0</v>
      </c>
      <c r="S349" s="2" t="s">
        <v>259</v>
      </c>
      <c r="T349" s="2" t="s">
        <v>43</v>
      </c>
      <c r="U349" s="2" t="s">
        <v>178</v>
      </c>
      <c r="V349" s="2" t="s">
        <v>179</v>
      </c>
      <c r="W349" s="2" t="s">
        <v>68</v>
      </c>
      <c r="X349" s="2" t="s">
        <v>172</v>
      </c>
      <c r="Y349" s="2" t="s">
        <v>53</v>
      </c>
      <c r="Z349" s="3">
        <v>7.0</v>
      </c>
      <c r="AA349" s="2" t="s">
        <v>180</v>
      </c>
      <c r="AB349" s="3">
        <v>28.0</v>
      </c>
      <c r="AC349" s="3">
        <v>28.0</v>
      </c>
      <c r="AD349" s="7">
        <v>0.8036</v>
      </c>
      <c r="AE349" s="3">
        <v>45.0</v>
      </c>
      <c r="AF349" s="3">
        <v>2.0</v>
      </c>
      <c r="AG349" s="3">
        <v>0.0</v>
      </c>
      <c r="AH349" s="3">
        <v>2.0</v>
      </c>
      <c r="AI349" s="3">
        <v>0.0</v>
      </c>
      <c r="AJ349" s="3">
        <v>0.0</v>
      </c>
      <c r="AK349" s="3">
        <v>2.0</v>
      </c>
    </row>
    <row r="350">
      <c r="A350" s="2" t="s">
        <v>37</v>
      </c>
      <c r="B350" s="3">
        <v>39668.0</v>
      </c>
      <c r="C350" s="4">
        <v>45668.0</v>
      </c>
      <c r="D350" s="3" t="s">
        <v>38</v>
      </c>
      <c r="E350" s="2" t="s">
        <v>72</v>
      </c>
      <c r="F350" s="3">
        <v>84863.0</v>
      </c>
      <c r="G350" s="2" t="s">
        <v>1162</v>
      </c>
      <c r="H350" s="5">
        <v>45887.58770833333</v>
      </c>
      <c r="I350" s="2" t="s">
        <v>499</v>
      </c>
      <c r="J350" s="2" t="s">
        <v>1163</v>
      </c>
      <c r="K350" s="2" t="s">
        <v>43</v>
      </c>
      <c r="L350" s="2" t="s">
        <v>44</v>
      </c>
      <c r="M350" s="2" t="s">
        <v>89</v>
      </c>
      <c r="N350" s="2" t="s">
        <v>1164</v>
      </c>
      <c r="O350" s="2" t="s">
        <v>1165</v>
      </c>
      <c r="P350" s="4">
        <v>46084.0</v>
      </c>
      <c r="Q350" s="4">
        <v>46084.0</v>
      </c>
      <c r="R350" s="3">
        <v>2014.0</v>
      </c>
      <c r="S350" s="2" t="s">
        <v>841</v>
      </c>
      <c r="T350" s="2" t="s">
        <v>43</v>
      </c>
      <c r="U350" s="2" t="s">
        <v>250</v>
      </c>
      <c r="V350" s="2" t="s">
        <v>251</v>
      </c>
      <c r="W350" s="2" t="s">
        <v>51</v>
      </c>
      <c r="X350" s="2" t="s">
        <v>172</v>
      </c>
      <c r="Y350" s="2" t="s">
        <v>53</v>
      </c>
      <c r="Z350" s="3">
        <v>6.0</v>
      </c>
      <c r="AA350" s="2" t="s">
        <v>180</v>
      </c>
      <c r="AB350" s="3">
        <v>31.0</v>
      </c>
      <c r="AC350" s="3">
        <v>31.0</v>
      </c>
      <c r="AD350" s="7">
        <v>0.9677</v>
      </c>
      <c r="AE350" s="3">
        <v>30.0</v>
      </c>
      <c r="AF350" s="3">
        <v>1.0</v>
      </c>
      <c r="AG350" s="3">
        <v>0.0</v>
      </c>
      <c r="AH350" s="3">
        <v>1.0</v>
      </c>
      <c r="AI350" s="3">
        <v>0.0</v>
      </c>
      <c r="AJ350" s="3">
        <v>0.0</v>
      </c>
      <c r="AK350" s="3">
        <v>1.0</v>
      </c>
    </row>
    <row r="351">
      <c r="A351" s="2" t="s">
        <v>37</v>
      </c>
      <c r="B351" s="3">
        <v>39669.0</v>
      </c>
      <c r="C351" s="4">
        <v>45668.0</v>
      </c>
      <c r="D351" s="3" t="s">
        <v>38</v>
      </c>
      <c r="E351" s="2" t="s">
        <v>72</v>
      </c>
      <c r="F351" s="3">
        <v>84863.0</v>
      </c>
      <c r="G351" s="2" t="s">
        <v>1162</v>
      </c>
      <c r="H351" s="5">
        <v>45887.58770833333</v>
      </c>
      <c r="I351" s="2" t="s">
        <v>499</v>
      </c>
      <c r="J351" s="2" t="s">
        <v>1163</v>
      </c>
      <c r="K351" s="2" t="s">
        <v>43</v>
      </c>
      <c r="L351" s="2" t="s">
        <v>44</v>
      </c>
      <c r="M351" s="2" t="s">
        <v>89</v>
      </c>
      <c r="N351" s="2" t="s">
        <v>1164</v>
      </c>
      <c r="O351" s="2" t="s">
        <v>1165</v>
      </c>
      <c r="P351" s="4">
        <v>46115.0</v>
      </c>
      <c r="Q351" s="4">
        <v>46115.0</v>
      </c>
      <c r="R351" s="3">
        <v>2014.0</v>
      </c>
      <c r="S351" s="2" t="s">
        <v>841</v>
      </c>
      <c r="T351" s="2" t="s">
        <v>43</v>
      </c>
      <c r="U351" s="2" t="s">
        <v>250</v>
      </c>
      <c r="V351" s="2" t="s">
        <v>251</v>
      </c>
      <c r="W351" s="2" t="s">
        <v>51</v>
      </c>
      <c r="X351" s="2" t="s">
        <v>172</v>
      </c>
      <c r="Y351" s="2" t="s">
        <v>53</v>
      </c>
      <c r="Z351" s="3">
        <v>7.0</v>
      </c>
      <c r="AA351" s="2" t="s">
        <v>180</v>
      </c>
      <c r="AB351" s="3">
        <v>26.0</v>
      </c>
      <c r="AC351" s="3">
        <v>26.0</v>
      </c>
      <c r="AD351" s="7">
        <v>0.9615</v>
      </c>
      <c r="AE351" s="3">
        <v>25.0</v>
      </c>
      <c r="AF351" s="3">
        <v>1.0</v>
      </c>
      <c r="AG351" s="3">
        <v>0.0</v>
      </c>
      <c r="AH351" s="3">
        <v>1.0</v>
      </c>
      <c r="AI351" s="3">
        <v>0.0</v>
      </c>
      <c r="AJ351" s="3">
        <v>0.0</v>
      </c>
      <c r="AK351" s="3">
        <v>1.0</v>
      </c>
    </row>
    <row r="352">
      <c r="A352" s="2" t="s">
        <v>37</v>
      </c>
      <c r="B352" s="3">
        <v>39774.0</v>
      </c>
      <c r="C352" s="4">
        <v>45668.0</v>
      </c>
      <c r="D352" s="3" t="s">
        <v>38</v>
      </c>
      <c r="E352" s="2" t="s">
        <v>72</v>
      </c>
      <c r="F352" s="3">
        <v>84863.0</v>
      </c>
      <c r="G352" s="2" t="s">
        <v>1162</v>
      </c>
      <c r="H352" s="5">
        <v>45887.58770833333</v>
      </c>
      <c r="I352" s="2" t="s">
        <v>499</v>
      </c>
      <c r="J352" s="2" t="s">
        <v>1163</v>
      </c>
      <c r="K352" s="2" t="s">
        <v>43</v>
      </c>
      <c r="L352" s="2" t="s">
        <v>44</v>
      </c>
      <c r="M352" s="2" t="s">
        <v>89</v>
      </c>
      <c r="N352" s="2" t="s">
        <v>1164</v>
      </c>
      <c r="O352" s="2" t="s">
        <v>1165</v>
      </c>
      <c r="P352" s="4">
        <v>46206.0</v>
      </c>
      <c r="Q352" s="4">
        <v>46206.0</v>
      </c>
      <c r="R352" s="3">
        <v>2014.0</v>
      </c>
      <c r="S352" s="2" t="s">
        <v>841</v>
      </c>
      <c r="T352" s="2" t="s">
        <v>43</v>
      </c>
      <c r="U352" s="2" t="s">
        <v>250</v>
      </c>
      <c r="V352" s="2" t="s">
        <v>251</v>
      </c>
      <c r="W352" s="2" t="s">
        <v>51</v>
      </c>
      <c r="X352" s="2" t="s">
        <v>172</v>
      </c>
      <c r="Y352" s="2" t="s">
        <v>53</v>
      </c>
      <c r="Z352" s="3">
        <v>5.0</v>
      </c>
      <c r="AA352" s="2" t="s">
        <v>180</v>
      </c>
      <c r="AB352" s="3">
        <v>6.0</v>
      </c>
      <c r="AC352" s="3">
        <v>6.0</v>
      </c>
      <c r="AD352" s="7">
        <v>1.0</v>
      </c>
      <c r="AE352" s="3">
        <v>6.0</v>
      </c>
      <c r="AF352" s="3">
        <v>1.0</v>
      </c>
      <c r="AG352" s="3">
        <v>0.0</v>
      </c>
      <c r="AH352" s="3">
        <v>1.0</v>
      </c>
      <c r="AI352" s="3">
        <v>0.0</v>
      </c>
      <c r="AJ352" s="3">
        <v>0.0</v>
      </c>
      <c r="AK352" s="3">
        <v>1.0</v>
      </c>
    </row>
    <row r="353">
      <c r="A353" s="2" t="s">
        <v>37</v>
      </c>
      <c r="B353" s="3">
        <v>37046.0</v>
      </c>
      <c r="C353" s="3" t="s">
        <v>196</v>
      </c>
      <c r="D353" s="3" t="s">
        <v>38</v>
      </c>
      <c r="E353" s="2" t="s">
        <v>39</v>
      </c>
      <c r="F353" s="3">
        <v>52850.0</v>
      </c>
      <c r="G353" s="2" t="s">
        <v>1166</v>
      </c>
      <c r="H353" s="5">
        <v>44445.32840277778</v>
      </c>
      <c r="I353" s="2" t="s">
        <v>57</v>
      </c>
      <c r="J353" s="2" t="s">
        <v>275</v>
      </c>
      <c r="K353" s="2" t="s">
        <v>59</v>
      </c>
      <c r="L353" s="2" t="s">
        <v>44</v>
      </c>
      <c r="M353" s="2" t="s">
        <v>111</v>
      </c>
      <c r="N353" s="2" t="s">
        <v>238</v>
      </c>
      <c r="O353" s="2" t="s">
        <v>1167</v>
      </c>
      <c r="P353" s="4">
        <v>46056.0</v>
      </c>
      <c r="Q353" s="4">
        <v>46298.0</v>
      </c>
      <c r="R353" s="3">
        <v>1696.0</v>
      </c>
      <c r="S353" s="2" t="s">
        <v>202</v>
      </c>
      <c r="T353" s="2" t="s">
        <v>48</v>
      </c>
      <c r="U353" s="2" t="s">
        <v>49</v>
      </c>
      <c r="V353" s="2" t="s">
        <v>50</v>
      </c>
      <c r="W353" s="2" t="s">
        <v>51</v>
      </c>
      <c r="X353" s="2" t="s">
        <v>52</v>
      </c>
      <c r="Y353" s="2" t="s">
        <v>53</v>
      </c>
      <c r="Z353" s="3">
        <v>7.0</v>
      </c>
      <c r="AA353" s="2" t="s">
        <v>164</v>
      </c>
      <c r="AB353" s="3">
        <v>14.0</v>
      </c>
      <c r="AC353" s="3">
        <v>14.0</v>
      </c>
      <c r="AD353" s="7">
        <v>0.9286</v>
      </c>
      <c r="AE353" s="3">
        <v>39.0</v>
      </c>
      <c r="AF353" s="3">
        <v>3.0</v>
      </c>
      <c r="AG353" s="3">
        <v>0.0</v>
      </c>
      <c r="AH353" s="3">
        <v>3.0</v>
      </c>
      <c r="AI353" s="3">
        <v>0.0</v>
      </c>
      <c r="AJ353" s="3">
        <v>0.0</v>
      </c>
      <c r="AK353" s="3">
        <v>3.0</v>
      </c>
    </row>
    <row r="354">
      <c r="A354" s="2" t="s">
        <v>37</v>
      </c>
      <c r="B354" s="3">
        <v>38838.0</v>
      </c>
      <c r="C354" s="3" t="s">
        <v>106</v>
      </c>
      <c r="D354" s="3" t="s">
        <v>38</v>
      </c>
      <c r="E354" s="2" t="s">
        <v>39</v>
      </c>
      <c r="F354" s="3">
        <v>85219.0</v>
      </c>
      <c r="G354" s="2" t="s">
        <v>1168</v>
      </c>
      <c r="H354" s="5">
        <v>45892.90547453704</v>
      </c>
      <c r="I354" s="2" t="s">
        <v>57</v>
      </c>
      <c r="J354" s="2" t="s">
        <v>109</v>
      </c>
      <c r="K354" s="2" t="s">
        <v>110</v>
      </c>
      <c r="L354" s="2" t="s">
        <v>44</v>
      </c>
      <c r="M354" s="2" t="s">
        <v>60</v>
      </c>
      <c r="N354" s="2" t="s">
        <v>100</v>
      </c>
      <c r="O354" s="2" t="s">
        <v>1169</v>
      </c>
      <c r="P354" s="4">
        <v>46115.0</v>
      </c>
      <c r="Q354" s="4">
        <v>46359.0</v>
      </c>
      <c r="R354" s="3">
        <v>1337.0</v>
      </c>
      <c r="S354" s="2" t="s">
        <v>652</v>
      </c>
      <c r="T354" s="2" t="s">
        <v>110</v>
      </c>
      <c r="U354" s="2" t="s">
        <v>115</v>
      </c>
      <c r="V354" s="2" t="s">
        <v>116</v>
      </c>
      <c r="W354" s="2" t="s">
        <v>51</v>
      </c>
      <c r="X354" s="2" t="s">
        <v>117</v>
      </c>
      <c r="Y354" s="2" t="s">
        <v>188</v>
      </c>
      <c r="Z354" s="3">
        <v>7.0</v>
      </c>
      <c r="AA354" s="2" t="s">
        <v>164</v>
      </c>
      <c r="AB354" s="3">
        <v>31.0</v>
      </c>
      <c r="AC354" s="3">
        <v>31.0</v>
      </c>
      <c r="AD354" s="7">
        <v>0.9113</v>
      </c>
      <c r="AE354" s="3">
        <v>113.0</v>
      </c>
      <c r="AF354" s="3">
        <v>4.0</v>
      </c>
      <c r="AG354" s="3">
        <v>0.0</v>
      </c>
      <c r="AH354" s="3">
        <v>4.0</v>
      </c>
      <c r="AI354" s="3">
        <v>0.0</v>
      </c>
      <c r="AJ354" s="3">
        <v>0.0</v>
      </c>
      <c r="AK354" s="3">
        <v>4.0</v>
      </c>
    </row>
    <row r="355">
      <c r="A355" s="2" t="s">
        <v>37</v>
      </c>
      <c r="B355" s="3">
        <v>38935.0</v>
      </c>
      <c r="C355" s="3" t="s">
        <v>1170</v>
      </c>
      <c r="D355" s="3" t="s">
        <v>38</v>
      </c>
      <c r="E355" s="2" t="s">
        <v>39</v>
      </c>
      <c r="F355" s="3">
        <v>46706.0</v>
      </c>
      <c r="G355" s="2" t="s">
        <v>1171</v>
      </c>
      <c r="H355" s="5">
        <v>44258.26778935185</v>
      </c>
      <c r="I355" s="2" t="s">
        <v>1172</v>
      </c>
      <c r="J355" s="2" t="s">
        <v>156</v>
      </c>
      <c r="K355" s="2" t="s">
        <v>59</v>
      </c>
      <c r="L355" s="2" t="s">
        <v>44</v>
      </c>
      <c r="M355" s="2" t="s">
        <v>45</v>
      </c>
      <c r="N355" s="2" t="s">
        <v>1173</v>
      </c>
      <c r="O355" s="2" t="s">
        <v>1174</v>
      </c>
      <c r="P355" s="4">
        <v>46176.0</v>
      </c>
      <c r="Q355" s="4">
        <v>46329.0</v>
      </c>
      <c r="R355" s="3">
        <v>1771.0</v>
      </c>
      <c r="S355" s="2" t="s">
        <v>743</v>
      </c>
      <c r="T355" s="2" t="s">
        <v>48</v>
      </c>
      <c r="U355" s="2" t="s">
        <v>744</v>
      </c>
      <c r="V355" s="2" t="s">
        <v>382</v>
      </c>
      <c r="W355" s="2" t="s">
        <v>51</v>
      </c>
      <c r="X355" s="2" t="s">
        <v>52</v>
      </c>
      <c r="Y355" s="2" t="s">
        <v>53</v>
      </c>
      <c r="Z355" s="3">
        <v>8.0</v>
      </c>
      <c r="AA355" s="2" t="s">
        <v>318</v>
      </c>
      <c r="AB355" s="3">
        <v>5.0</v>
      </c>
      <c r="AC355" s="3">
        <v>5.0</v>
      </c>
      <c r="AD355" s="7">
        <v>1.0</v>
      </c>
      <c r="AE355" s="3">
        <v>15.0</v>
      </c>
      <c r="AF355" s="3">
        <v>3.0</v>
      </c>
      <c r="AG355" s="3">
        <v>0.0</v>
      </c>
      <c r="AH355" s="3">
        <v>3.0</v>
      </c>
      <c r="AI355" s="3">
        <v>0.0</v>
      </c>
      <c r="AJ355" s="3">
        <v>0.0</v>
      </c>
      <c r="AK355" s="3">
        <v>3.0</v>
      </c>
    </row>
    <row r="356">
      <c r="A356" s="2" t="s">
        <v>37</v>
      </c>
      <c r="B356" s="3">
        <v>39673.0</v>
      </c>
      <c r="C356" s="3" t="s">
        <v>520</v>
      </c>
      <c r="D356" s="3" t="s">
        <v>38</v>
      </c>
      <c r="E356" s="2" t="s">
        <v>39</v>
      </c>
      <c r="F356" s="3">
        <v>86116.0</v>
      </c>
      <c r="G356" s="2" t="s">
        <v>1175</v>
      </c>
      <c r="H356" s="5">
        <v>45925.68168981482</v>
      </c>
      <c r="I356" s="2" t="s">
        <v>57</v>
      </c>
      <c r="J356" s="2" t="s">
        <v>1176</v>
      </c>
      <c r="K356" s="2" t="s">
        <v>43</v>
      </c>
      <c r="L356" s="2" t="s">
        <v>44</v>
      </c>
      <c r="M356" s="2" t="s">
        <v>89</v>
      </c>
      <c r="N356" s="2" t="s">
        <v>100</v>
      </c>
      <c r="O356" s="2" t="s">
        <v>1177</v>
      </c>
      <c r="P356" s="4">
        <v>46056.0</v>
      </c>
      <c r="Q356" s="3" t="s">
        <v>827</v>
      </c>
      <c r="R356" s="3">
        <v>2027.0</v>
      </c>
      <c r="S356" s="2" t="s">
        <v>526</v>
      </c>
      <c r="T356" s="2" t="s">
        <v>43</v>
      </c>
      <c r="U356" s="2" t="s">
        <v>527</v>
      </c>
      <c r="V356" s="2" t="s">
        <v>528</v>
      </c>
      <c r="W356" s="2" t="s">
        <v>51</v>
      </c>
      <c r="X356" s="2" t="s">
        <v>172</v>
      </c>
      <c r="Y356" s="2" t="s">
        <v>53</v>
      </c>
      <c r="Z356" s="3">
        <v>5.0</v>
      </c>
      <c r="AA356" s="2" t="s">
        <v>54</v>
      </c>
      <c r="AB356" s="3">
        <v>5.0</v>
      </c>
      <c r="AC356" s="3">
        <v>5.0</v>
      </c>
      <c r="AD356" s="7">
        <v>0.9667</v>
      </c>
      <c r="AE356" s="3">
        <v>29.0</v>
      </c>
      <c r="AF356" s="3">
        <v>6.0</v>
      </c>
      <c r="AG356" s="3">
        <v>0.0</v>
      </c>
      <c r="AH356" s="3">
        <v>5.0</v>
      </c>
      <c r="AI356" s="3">
        <v>1.0</v>
      </c>
      <c r="AJ356" s="3">
        <v>0.0</v>
      </c>
      <c r="AK356" s="3">
        <v>6.0</v>
      </c>
    </row>
    <row r="357">
      <c r="A357" s="2" t="s">
        <v>37</v>
      </c>
      <c r="B357" s="3">
        <v>39674.0</v>
      </c>
      <c r="C357" s="3" t="s">
        <v>520</v>
      </c>
      <c r="D357" s="3" t="s">
        <v>38</v>
      </c>
      <c r="E357" s="2" t="s">
        <v>39</v>
      </c>
      <c r="F357" s="3">
        <v>86116.0</v>
      </c>
      <c r="G357" s="2" t="s">
        <v>1175</v>
      </c>
      <c r="H357" s="5">
        <v>45925.68168981482</v>
      </c>
      <c r="I357" s="2" t="s">
        <v>57</v>
      </c>
      <c r="J357" s="2" t="s">
        <v>1176</v>
      </c>
      <c r="K357" s="2" t="s">
        <v>43</v>
      </c>
      <c r="L357" s="2" t="s">
        <v>44</v>
      </c>
      <c r="M357" s="2" t="s">
        <v>89</v>
      </c>
      <c r="N357" s="2" t="s">
        <v>100</v>
      </c>
      <c r="O357" s="2" t="s">
        <v>1177</v>
      </c>
      <c r="P357" s="4">
        <v>46056.0</v>
      </c>
      <c r="Q357" s="3" t="s">
        <v>827</v>
      </c>
      <c r="R357" s="3">
        <v>2027.0</v>
      </c>
      <c r="S357" s="2" t="s">
        <v>526</v>
      </c>
      <c r="T357" s="2" t="s">
        <v>43</v>
      </c>
      <c r="U357" s="2" t="s">
        <v>527</v>
      </c>
      <c r="V357" s="2" t="s">
        <v>528</v>
      </c>
      <c r="W357" s="2" t="s">
        <v>51</v>
      </c>
      <c r="X357" s="2" t="s">
        <v>172</v>
      </c>
      <c r="Y357" s="2" t="s">
        <v>53</v>
      </c>
      <c r="Z357" s="3">
        <v>6.0</v>
      </c>
      <c r="AA357" s="2" t="s">
        <v>54</v>
      </c>
      <c r="AB357" s="3">
        <v>4.0</v>
      </c>
      <c r="AC357" s="3">
        <v>4.0</v>
      </c>
      <c r="AD357" s="7">
        <v>0.9583</v>
      </c>
      <c r="AE357" s="3">
        <v>23.0</v>
      </c>
      <c r="AF357" s="3">
        <v>6.0</v>
      </c>
      <c r="AG357" s="3">
        <v>0.0</v>
      </c>
      <c r="AH357" s="3">
        <v>5.0</v>
      </c>
      <c r="AI357" s="3">
        <v>1.0</v>
      </c>
      <c r="AJ357" s="3">
        <v>0.0</v>
      </c>
      <c r="AK357" s="3">
        <v>6.0</v>
      </c>
    </row>
    <row r="358">
      <c r="A358" s="2" t="s">
        <v>37</v>
      </c>
      <c r="B358" s="3">
        <v>38826.0</v>
      </c>
      <c r="C358" s="3" t="s">
        <v>106</v>
      </c>
      <c r="D358" s="3" t="s">
        <v>38</v>
      </c>
      <c r="E358" s="2" t="s">
        <v>39</v>
      </c>
      <c r="F358" s="3">
        <v>31448.0</v>
      </c>
      <c r="G358" s="2" t="s">
        <v>1178</v>
      </c>
      <c r="H358" s="5">
        <v>43794.23155092593</v>
      </c>
      <c r="I358" s="2" t="s">
        <v>57</v>
      </c>
      <c r="J358" s="2" t="s">
        <v>42</v>
      </c>
      <c r="K358" s="2" t="s">
        <v>43</v>
      </c>
      <c r="L358" s="2" t="s">
        <v>44</v>
      </c>
      <c r="M358" s="2" t="s">
        <v>256</v>
      </c>
      <c r="N358" s="2" t="s">
        <v>514</v>
      </c>
      <c r="O358" s="2" t="s">
        <v>1179</v>
      </c>
      <c r="P358" s="4">
        <v>46115.0</v>
      </c>
      <c r="Q358" s="4">
        <v>46359.0</v>
      </c>
      <c r="R358" s="3">
        <v>1333.0</v>
      </c>
      <c r="S358" s="2" t="s">
        <v>894</v>
      </c>
      <c r="T358" s="2" t="s">
        <v>110</v>
      </c>
      <c r="U358" s="2" t="s">
        <v>115</v>
      </c>
      <c r="V358" s="2" t="s">
        <v>116</v>
      </c>
      <c r="W358" s="2" t="s">
        <v>51</v>
      </c>
      <c r="X358" s="2" t="s">
        <v>117</v>
      </c>
      <c r="Y358" s="2" t="s">
        <v>188</v>
      </c>
      <c r="Z358" s="3">
        <v>8.0</v>
      </c>
      <c r="AA358" s="2" t="s">
        <v>164</v>
      </c>
      <c r="AB358" s="3">
        <v>40.0</v>
      </c>
      <c r="AC358" s="3">
        <v>40.0</v>
      </c>
      <c r="AD358" s="7">
        <v>1.0</v>
      </c>
      <c r="AE358" s="3">
        <v>160.0</v>
      </c>
      <c r="AF358" s="3">
        <v>4.0</v>
      </c>
      <c r="AG358" s="3">
        <v>0.0</v>
      </c>
      <c r="AH358" s="3">
        <v>4.0</v>
      </c>
      <c r="AI358" s="3">
        <v>0.0</v>
      </c>
      <c r="AJ358" s="3">
        <v>0.0</v>
      </c>
      <c r="AK358" s="3">
        <v>4.0</v>
      </c>
    </row>
    <row r="359">
      <c r="A359" s="2" t="s">
        <v>37</v>
      </c>
      <c r="B359" s="3">
        <v>37068.0</v>
      </c>
      <c r="C359" s="3" t="s">
        <v>807</v>
      </c>
      <c r="D359" s="3" t="s">
        <v>38</v>
      </c>
      <c r="E359" s="2" t="s">
        <v>39</v>
      </c>
      <c r="F359" s="3">
        <v>85331.0</v>
      </c>
      <c r="G359" s="2" t="s">
        <v>1180</v>
      </c>
      <c r="H359" s="5">
        <v>45897.413622685184</v>
      </c>
      <c r="I359" s="2" t="s">
        <v>57</v>
      </c>
      <c r="J359" s="2" t="s">
        <v>191</v>
      </c>
      <c r="K359" s="2" t="s">
        <v>110</v>
      </c>
      <c r="L359" s="2" t="s">
        <v>44</v>
      </c>
      <c r="M359" s="2" t="s">
        <v>60</v>
      </c>
      <c r="N359" s="2" t="s">
        <v>100</v>
      </c>
      <c r="O359" s="2" t="s">
        <v>1181</v>
      </c>
      <c r="P359" s="4">
        <v>46056.0</v>
      </c>
      <c r="Q359" s="4">
        <v>46359.0</v>
      </c>
      <c r="R359" s="3">
        <v>1698.0</v>
      </c>
      <c r="S359" s="2" t="s">
        <v>336</v>
      </c>
      <c r="T359" s="2" t="s">
        <v>48</v>
      </c>
      <c r="U359" s="2" t="s">
        <v>49</v>
      </c>
      <c r="V359" s="2" t="s">
        <v>50</v>
      </c>
      <c r="W359" s="2" t="s">
        <v>51</v>
      </c>
      <c r="X359" s="2" t="s">
        <v>52</v>
      </c>
      <c r="Y359" s="2" t="s">
        <v>53</v>
      </c>
      <c r="Z359" s="3">
        <v>8.0</v>
      </c>
      <c r="AA359" s="2" t="s">
        <v>54</v>
      </c>
      <c r="AB359" s="3">
        <v>16.0</v>
      </c>
      <c r="AC359" s="3">
        <v>16.0</v>
      </c>
      <c r="AD359" s="7">
        <v>0.7031</v>
      </c>
      <c r="AE359" s="3">
        <v>45.0</v>
      </c>
      <c r="AF359" s="3">
        <v>4.0</v>
      </c>
      <c r="AG359" s="3">
        <v>0.0</v>
      </c>
      <c r="AH359" s="3">
        <v>4.0</v>
      </c>
      <c r="AI359" s="3">
        <v>0.0</v>
      </c>
      <c r="AJ359" s="3">
        <v>0.0</v>
      </c>
      <c r="AK359" s="3">
        <v>4.0</v>
      </c>
    </row>
    <row r="360">
      <c r="A360" s="2" t="s">
        <v>37</v>
      </c>
      <c r="B360" s="3">
        <v>38837.0</v>
      </c>
      <c r="C360" s="3" t="s">
        <v>106</v>
      </c>
      <c r="D360" s="3" t="s">
        <v>38</v>
      </c>
      <c r="E360" s="2" t="s">
        <v>39</v>
      </c>
      <c r="F360" s="3">
        <v>85024.0</v>
      </c>
      <c r="G360" s="2" t="s">
        <v>1182</v>
      </c>
      <c r="H360" s="5">
        <v>45890.51975694444</v>
      </c>
      <c r="J360" s="2" t="s">
        <v>191</v>
      </c>
      <c r="K360" s="2" t="s">
        <v>110</v>
      </c>
      <c r="L360" s="2" t="s">
        <v>44</v>
      </c>
      <c r="M360" s="2" t="s">
        <v>111</v>
      </c>
      <c r="N360" s="2" t="s">
        <v>1183</v>
      </c>
      <c r="O360" s="2" t="s">
        <v>1184</v>
      </c>
      <c r="P360" s="4">
        <v>46056.0</v>
      </c>
      <c r="Q360" s="4">
        <v>46298.0</v>
      </c>
      <c r="R360" s="3">
        <v>1337.0</v>
      </c>
      <c r="S360" s="2" t="s">
        <v>652</v>
      </c>
      <c r="T360" s="2" t="s">
        <v>110</v>
      </c>
      <c r="U360" s="2" t="s">
        <v>115</v>
      </c>
      <c r="V360" s="2" t="s">
        <v>116</v>
      </c>
      <c r="W360" s="2" t="s">
        <v>51</v>
      </c>
      <c r="X360" s="2" t="s">
        <v>117</v>
      </c>
      <c r="Y360" s="2" t="s">
        <v>188</v>
      </c>
      <c r="Z360" s="3">
        <v>6.0</v>
      </c>
      <c r="AA360" s="2" t="s">
        <v>164</v>
      </c>
      <c r="AB360" s="3">
        <v>25.0</v>
      </c>
      <c r="AC360" s="3">
        <v>25.0</v>
      </c>
      <c r="AD360" s="7">
        <v>0.93</v>
      </c>
      <c r="AE360" s="3">
        <v>93.0</v>
      </c>
      <c r="AF360" s="3">
        <v>4.0</v>
      </c>
      <c r="AG360" s="3">
        <v>0.0</v>
      </c>
      <c r="AH360" s="3">
        <v>4.0</v>
      </c>
      <c r="AI360" s="3">
        <v>0.0</v>
      </c>
      <c r="AJ360" s="3">
        <v>0.0</v>
      </c>
      <c r="AK360" s="3">
        <v>4.0</v>
      </c>
    </row>
    <row r="361">
      <c r="A361" s="2" t="s">
        <v>37</v>
      </c>
      <c r="B361" s="3">
        <v>38744.0</v>
      </c>
      <c r="C361" s="4">
        <v>45846.0</v>
      </c>
      <c r="D361" s="3" t="s">
        <v>38</v>
      </c>
      <c r="E361" s="2" t="s">
        <v>72</v>
      </c>
      <c r="F361" s="3">
        <v>51584.0</v>
      </c>
      <c r="G361" s="2" t="s">
        <v>1185</v>
      </c>
      <c r="H361" s="5">
        <v>44399.04927083333</v>
      </c>
      <c r="I361" s="2" t="s">
        <v>57</v>
      </c>
      <c r="J361" s="2" t="s">
        <v>156</v>
      </c>
      <c r="K361" s="2" t="s">
        <v>59</v>
      </c>
      <c r="L361" s="2" t="s">
        <v>44</v>
      </c>
      <c r="M361" s="2" t="s">
        <v>403</v>
      </c>
      <c r="N361" s="2" t="s">
        <v>1186</v>
      </c>
      <c r="O361" s="2" t="s">
        <v>1187</v>
      </c>
      <c r="P361" s="4">
        <v>46145.0</v>
      </c>
      <c r="Q361" s="3" t="s">
        <v>236</v>
      </c>
      <c r="R361" s="3">
        <v>143.0</v>
      </c>
      <c r="S361" s="2" t="s">
        <v>536</v>
      </c>
      <c r="T361" s="2" t="s">
        <v>110</v>
      </c>
      <c r="U361" s="2" t="s">
        <v>537</v>
      </c>
      <c r="V361" s="2" t="s">
        <v>95</v>
      </c>
      <c r="W361" s="2" t="s">
        <v>51</v>
      </c>
      <c r="X361" s="2" t="s">
        <v>117</v>
      </c>
      <c r="Y361" s="2" t="s">
        <v>188</v>
      </c>
      <c r="Z361" s="3">
        <v>7.0</v>
      </c>
      <c r="AA361" s="2" t="s">
        <v>164</v>
      </c>
      <c r="AB361" s="3">
        <v>11.0</v>
      </c>
      <c r="AC361" s="3">
        <v>11.0</v>
      </c>
      <c r="AD361" s="7">
        <v>1.0</v>
      </c>
      <c r="AE361" s="3">
        <v>66.0</v>
      </c>
      <c r="AF361" s="3">
        <v>6.0</v>
      </c>
      <c r="AG361" s="3">
        <v>0.0</v>
      </c>
      <c r="AH361" s="3">
        <v>6.0</v>
      </c>
      <c r="AI361" s="3">
        <v>0.0</v>
      </c>
      <c r="AJ361" s="3">
        <v>0.0</v>
      </c>
      <c r="AK361" s="3">
        <v>6.0</v>
      </c>
    </row>
    <row r="362">
      <c r="A362" s="2" t="s">
        <v>37</v>
      </c>
      <c r="B362" s="3">
        <v>39984.0</v>
      </c>
      <c r="C362" s="3" t="s">
        <v>1188</v>
      </c>
      <c r="D362" s="3" t="s">
        <v>38</v>
      </c>
      <c r="E362" s="2" t="s">
        <v>72</v>
      </c>
      <c r="F362" s="3">
        <v>85724.0</v>
      </c>
      <c r="G362" s="2" t="s">
        <v>1189</v>
      </c>
      <c r="H362" s="5">
        <v>45912.93813657408</v>
      </c>
      <c r="I362" s="2" t="s">
        <v>57</v>
      </c>
      <c r="J362" s="2" t="s">
        <v>127</v>
      </c>
      <c r="K362" s="2" t="s">
        <v>128</v>
      </c>
      <c r="L362" s="2" t="s">
        <v>44</v>
      </c>
      <c r="M362" s="2" t="s">
        <v>89</v>
      </c>
      <c r="N362" s="2" t="s">
        <v>468</v>
      </c>
      <c r="O362" s="2" t="s">
        <v>1190</v>
      </c>
      <c r="P362" s="4">
        <v>46145.0</v>
      </c>
      <c r="Q362" s="3" t="s">
        <v>194</v>
      </c>
      <c r="R362" s="3">
        <v>2049.0</v>
      </c>
      <c r="S362" s="2" t="s">
        <v>315</v>
      </c>
      <c r="T362" s="2" t="s">
        <v>128</v>
      </c>
      <c r="U362" s="2" t="s">
        <v>316</v>
      </c>
      <c r="V362" s="2" t="s">
        <v>317</v>
      </c>
      <c r="W362" s="2" t="s">
        <v>51</v>
      </c>
      <c r="X362" s="2" t="s">
        <v>52</v>
      </c>
      <c r="Y362" s="2" t="s">
        <v>53</v>
      </c>
      <c r="Z362" s="3">
        <v>6.0</v>
      </c>
      <c r="AA362" s="2" t="s">
        <v>54</v>
      </c>
      <c r="AB362" s="3">
        <v>47.0</v>
      </c>
      <c r="AC362" s="3">
        <v>47.0</v>
      </c>
      <c r="AD362" s="7">
        <v>0.7872</v>
      </c>
      <c r="AE362" s="3">
        <v>148.0</v>
      </c>
      <c r="AF362" s="3">
        <v>4.0</v>
      </c>
      <c r="AG362" s="3">
        <v>0.0</v>
      </c>
      <c r="AH362" s="3">
        <v>4.0</v>
      </c>
      <c r="AI362" s="3">
        <v>0.0</v>
      </c>
      <c r="AJ362" s="3">
        <v>0.0</v>
      </c>
      <c r="AK362" s="3">
        <v>4.0</v>
      </c>
    </row>
    <row r="363">
      <c r="A363" s="2" t="s">
        <v>37</v>
      </c>
      <c r="B363" s="3">
        <v>38966.0</v>
      </c>
      <c r="C363" s="4">
        <v>45666.0</v>
      </c>
      <c r="D363" s="3" t="s">
        <v>38</v>
      </c>
      <c r="E363" s="2" t="s">
        <v>72</v>
      </c>
      <c r="F363" s="3">
        <v>69736.0</v>
      </c>
      <c r="G363" s="2" t="s">
        <v>1191</v>
      </c>
      <c r="H363" s="5">
        <v>45250.15137731482</v>
      </c>
      <c r="I363" s="2" t="s">
        <v>57</v>
      </c>
      <c r="J363" s="2" t="s">
        <v>1192</v>
      </c>
      <c r="K363" s="2" t="s">
        <v>43</v>
      </c>
      <c r="L363" s="2" t="s">
        <v>44</v>
      </c>
      <c r="M363" s="2" t="s">
        <v>89</v>
      </c>
      <c r="N363" s="2" t="s">
        <v>1193</v>
      </c>
      <c r="O363" s="2" t="s">
        <v>1194</v>
      </c>
      <c r="P363" s="4">
        <v>46084.0</v>
      </c>
      <c r="Q363" s="4">
        <v>46176.0</v>
      </c>
      <c r="R363" s="3">
        <v>2013.0</v>
      </c>
      <c r="S363" s="2" t="s">
        <v>376</v>
      </c>
      <c r="T363" s="2" t="s">
        <v>43</v>
      </c>
      <c r="U363" s="2" t="s">
        <v>178</v>
      </c>
      <c r="V363" s="2" t="s">
        <v>251</v>
      </c>
      <c r="W363" s="2" t="s">
        <v>51</v>
      </c>
      <c r="X363" s="2" t="s">
        <v>172</v>
      </c>
      <c r="Y363" s="2" t="s">
        <v>53</v>
      </c>
      <c r="Z363" s="3">
        <v>6.0</v>
      </c>
      <c r="AA363" s="2" t="s">
        <v>180</v>
      </c>
      <c r="AB363" s="3">
        <v>16.0</v>
      </c>
      <c r="AC363" s="3">
        <v>15.0</v>
      </c>
      <c r="AD363" s="7">
        <v>0.8667</v>
      </c>
      <c r="AE363" s="3">
        <v>26.0</v>
      </c>
      <c r="AF363" s="3">
        <v>2.0</v>
      </c>
      <c r="AG363" s="3">
        <v>0.0</v>
      </c>
      <c r="AH363" s="3">
        <v>2.0</v>
      </c>
      <c r="AI363" s="3">
        <v>0.0</v>
      </c>
      <c r="AJ363" s="3">
        <v>0.0</v>
      </c>
      <c r="AK363" s="3">
        <v>2.0</v>
      </c>
    </row>
    <row r="364">
      <c r="A364" s="2" t="s">
        <v>37</v>
      </c>
      <c r="B364" s="3">
        <v>39677.0</v>
      </c>
      <c r="C364" s="3" t="s">
        <v>520</v>
      </c>
      <c r="D364" s="3" t="s">
        <v>38</v>
      </c>
      <c r="E364" s="2" t="s">
        <v>39</v>
      </c>
      <c r="F364" s="3">
        <v>30593.0</v>
      </c>
      <c r="G364" s="2" t="s">
        <v>1195</v>
      </c>
      <c r="H364" s="5">
        <v>43752.53524305556</v>
      </c>
      <c r="I364" s="2" t="s">
        <v>57</v>
      </c>
      <c r="J364" s="2" t="s">
        <v>42</v>
      </c>
      <c r="K364" s="2" t="s">
        <v>43</v>
      </c>
      <c r="L364" s="2" t="s">
        <v>44</v>
      </c>
      <c r="M364" s="2" t="s">
        <v>111</v>
      </c>
      <c r="N364" s="2" t="s">
        <v>400</v>
      </c>
      <c r="O364" s="2" t="s">
        <v>1196</v>
      </c>
      <c r="P364" s="4">
        <v>46115.0</v>
      </c>
      <c r="Q364" s="3" t="s">
        <v>525</v>
      </c>
      <c r="R364" s="3">
        <v>2016.0</v>
      </c>
      <c r="S364" s="2" t="s">
        <v>793</v>
      </c>
      <c r="T364" s="2" t="s">
        <v>43</v>
      </c>
      <c r="U364" s="2" t="s">
        <v>794</v>
      </c>
      <c r="V364" s="2" t="s">
        <v>795</v>
      </c>
      <c r="W364" s="2" t="s">
        <v>51</v>
      </c>
      <c r="X364" s="2" t="s">
        <v>172</v>
      </c>
      <c r="Y364" s="2" t="s">
        <v>53</v>
      </c>
      <c r="Z364" s="3">
        <v>6.0</v>
      </c>
      <c r="AA364" s="2" t="s">
        <v>54</v>
      </c>
      <c r="AB364" s="3">
        <v>28.0</v>
      </c>
      <c r="AC364" s="3">
        <v>28.0</v>
      </c>
      <c r="AD364" s="7">
        <v>0.8393</v>
      </c>
      <c r="AE364" s="3">
        <v>94.0</v>
      </c>
      <c r="AF364" s="3">
        <v>6.0</v>
      </c>
      <c r="AG364" s="3">
        <v>0.0</v>
      </c>
      <c r="AH364" s="3">
        <v>3.0</v>
      </c>
      <c r="AI364" s="3">
        <v>1.0</v>
      </c>
      <c r="AJ364" s="3">
        <v>2.0</v>
      </c>
      <c r="AK364" s="3">
        <v>4.0</v>
      </c>
    </row>
    <row r="365">
      <c r="A365" s="2" t="s">
        <v>37</v>
      </c>
      <c r="B365" s="3">
        <v>38822.0</v>
      </c>
      <c r="C365" s="3" t="s">
        <v>106</v>
      </c>
      <c r="D365" s="3" t="s">
        <v>38</v>
      </c>
      <c r="E365" s="2" t="s">
        <v>39</v>
      </c>
      <c r="F365" s="3">
        <v>85108.0</v>
      </c>
      <c r="G365" s="2" t="s">
        <v>1197</v>
      </c>
      <c r="H365" s="5">
        <v>45890.76107638889</v>
      </c>
      <c r="I365" s="2" t="s">
        <v>213</v>
      </c>
      <c r="J365" s="2" t="s">
        <v>964</v>
      </c>
      <c r="K365" s="2" t="s">
        <v>110</v>
      </c>
      <c r="L365" s="2" t="s">
        <v>44</v>
      </c>
      <c r="M365" s="2" t="s">
        <v>111</v>
      </c>
      <c r="N365" s="2" t="s">
        <v>247</v>
      </c>
      <c r="O365" s="2" t="s">
        <v>1198</v>
      </c>
      <c r="P365" s="4">
        <v>46056.0</v>
      </c>
      <c r="Q365" s="3" t="s">
        <v>236</v>
      </c>
      <c r="R365" s="3">
        <v>1332.0</v>
      </c>
      <c r="S365" s="2" t="s">
        <v>114</v>
      </c>
      <c r="T365" s="2" t="s">
        <v>110</v>
      </c>
      <c r="U365" s="2" t="s">
        <v>115</v>
      </c>
      <c r="V365" s="2" t="s">
        <v>116</v>
      </c>
      <c r="W365" s="2" t="s">
        <v>51</v>
      </c>
      <c r="X365" s="2" t="s">
        <v>117</v>
      </c>
      <c r="Y365" s="2" t="s">
        <v>53</v>
      </c>
      <c r="Z365" s="3">
        <v>7.0</v>
      </c>
      <c r="AA365" s="2" t="s">
        <v>54</v>
      </c>
      <c r="AB365" s="3">
        <v>30.0</v>
      </c>
      <c r="AC365" s="3">
        <v>30.0</v>
      </c>
      <c r="AD365" s="7">
        <v>1.0</v>
      </c>
      <c r="AE365" s="3">
        <v>210.0</v>
      </c>
      <c r="AF365" s="3">
        <v>8.0</v>
      </c>
      <c r="AG365" s="3">
        <v>0.0</v>
      </c>
      <c r="AH365" s="3">
        <v>7.0</v>
      </c>
      <c r="AI365" s="3">
        <v>0.0</v>
      </c>
      <c r="AJ365" s="3">
        <v>1.0</v>
      </c>
      <c r="AK365" s="3">
        <v>7.0</v>
      </c>
    </row>
    <row r="366">
      <c r="A366" s="2" t="s">
        <v>37</v>
      </c>
      <c r="B366" s="3">
        <v>38984.0</v>
      </c>
      <c r="C366" s="3" t="s">
        <v>142</v>
      </c>
      <c r="D366" s="3" t="s">
        <v>38</v>
      </c>
      <c r="E366" s="2" t="s">
        <v>72</v>
      </c>
      <c r="F366" s="3">
        <v>87519.0</v>
      </c>
      <c r="G366" s="2" t="s">
        <v>1199</v>
      </c>
      <c r="H366" s="5">
        <v>46006.94697916666</v>
      </c>
      <c r="I366" s="2" t="s">
        <v>57</v>
      </c>
      <c r="J366" s="2" t="s">
        <v>42</v>
      </c>
      <c r="K366" s="2" t="s">
        <v>43</v>
      </c>
      <c r="L366" s="2" t="s">
        <v>44</v>
      </c>
      <c r="M366" s="2" t="s">
        <v>111</v>
      </c>
      <c r="N366" s="2" t="s">
        <v>1200</v>
      </c>
      <c r="O366" s="2" t="s">
        <v>1201</v>
      </c>
      <c r="P366" s="4">
        <v>46056.0</v>
      </c>
      <c r="Q366" s="3" t="s">
        <v>63</v>
      </c>
      <c r="R366" s="3">
        <v>1955.0</v>
      </c>
      <c r="S366" s="2" t="s">
        <v>911</v>
      </c>
      <c r="T366" s="2" t="s">
        <v>43</v>
      </c>
      <c r="U366" s="2" t="s">
        <v>433</v>
      </c>
      <c r="V366" s="2" t="s">
        <v>434</v>
      </c>
      <c r="W366" s="2" t="s">
        <v>51</v>
      </c>
      <c r="X366" s="2" t="s">
        <v>172</v>
      </c>
      <c r="Y366" s="2" t="s">
        <v>53</v>
      </c>
      <c r="Z366" s="3">
        <v>8.0</v>
      </c>
      <c r="AA366" s="2" t="s">
        <v>54</v>
      </c>
      <c r="AB366" s="3">
        <v>9.0</v>
      </c>
      <c r="AC366" s="3">
        <v>9.0</v>
      </c>
      <c r="AD366" s="7">
        <v>0.8889</v>
      </c>
      <c r="AE366" s="3">
        <v>8.0</v>
      </c>
      <c r="AF366" s="3">
        <v>4.0</v>
      </c>
      <c r="AG366" s="3">
        <v>0.0</v>
      </c>
      <c r="AH366" s="3">
        <v>1.0</v>
      </c>
      <c r="AI366" s="3">
        <v>0.0</v>
      </c>
      <c r="AJ366" s="3">
        <v>3.0</v>
      </c>
      <c r="AK366" s="3">
        <v>1.0</v>
      </c>
    </row>
    <row r="367">
      <c r="A367" s="2" t="s">
        <v>37</v>
      </c>
      <c r="B367" s="3">
        <v>38827.0</v>
      </c>
      <c r="C367" s="3" t="s">
        <v>106</v>
      </c>
      <c r="D367" s="3" t="s">
        <v>38</v>
      </c>
      <c r="E367" s="2" t="s">
        <v>39</v>
      </c>
      <c r="F367" s="3">
        <v>84265.0</v>
      </c>
      <c r="G367" s="2" t="s">
        <v>1202</v>
      </c>
      <c r="H367" s="5">
        <v>45862.63616898148</v>
      </c>
      <c r="I367" s="2" t="s">
        <v>108</v>
      </c>
      <c r="J367" s="2" t="s">
        <v>1138</v>
      </c>
      <c r="K367" s="2" t="s">
        <v>110</v>
      </c>
      <c r="L367" s="2" t="s">
        <v>44</v>
      </c>
      <c r="M367" s="2" t="s">
        <v>111</v>
      </c>
      <c r="N367" s="2" t="s">
        <v>496</v>
      </c>
      <c r="O367" s="2" t="s">
        <v>1203</v>
      </c>
      <c r="P367" s="4">
        <v>46056.0</v>
      </c>
      <c r="Q367" s="4">
        <v>46359.0</v>
      </c>
      <c r="R367" s="3">
        <v>1334.0</v>
      </c>
      <c r="S367" s="2" t="s">
        <v>967</v>
      </c>
      <c r="T367" s="2" t="s">
        <v>110</v>
      </c>
      <c r="U367" s="2" t="s">
        <v>115</v>
      </c>
      <c r="V367" s="2" t="s">
        <v>116</v>
      </c>
      <c r="W367" s="2" t="s">
        <v>51</v>
      </c>
      <c r="X367" s="2" t="s">
        <v>117</v>
      </c>
      <c r="Y367" s="2" t="s">
        <v>188</v>
      </c>
      <c r="Z367" s="3">
        <v>6.0</v>
      </c>
      <c r="AA367" s="2" t="s">
        <v>164</v>
      </c>
      <c r="AB367" s="3">
        <v>24.0</v>
      </c>
      <c r="AC367" s="3">
        <v>24.0</v>
      </c>
      <c r="AD367" s="7">
        <v>1.0</v>
      </c>
      <c r="AE367" s="3">
        <v>96.0</v>
      </c>
      <c r="AF367" s="3">
        <v>4.0</v>
      </c>
      <c r="AG367" s="3">
        <v>0.0</v>
      </c>
      <c r="AH367" s="3">
        <v>4.0</v>
      </c>
      <c r="AI367" s="3">
        <v>0.0</v>
      </c>
      <c r="AJ367" s="3">
        <v>0.0</v>
      </c>
      <c r="AK367" s="3">
        <v>4.0</v>
      </c>
    </row>
    <row r="368">
      <c r="A368" s="2" t="s">
        <v>37</v>
      </c>
      <c r="B368" s="3">
        <v>38816.0</v>
      </c>
      <c r="C368" s="3" t="s">
        <v>106</v>
      </c>
      <c r="D368" s="3" t="s">
        <v>38</v>
      </c>
      <c r="E368" s="2" t="s">
        <v>39</v>
      </c>
      <c r="F368" s="3">
        <v>76123.0</v>
      </c>
      <c r="G368" s="2" t="s">
        <v>1204</v>
      </c>
      <c r="H368" s="5">
        <v>45530.72200231482</v>
      </c>
      <c r="I368" s="2" t="s">
        <v>1205</v>
      </c>
      <c r="J368" s="2" t="s">
        <v>42</v>
      </c>
      <c r="K368" s="2" t="s">
        <v>43</v>
      </c>
      <c r="L368" s="2" t="s">
        <v>44</v>
      </c>
      <c r="M368" s="2" t="s">
        <v>111</v>
      </c>
      <c r="N368" s="2" t="s">
        <v>1206</v>
      </c>
      <c r="O368" s="2" t="s">
        <v>1207</v>
      </c>
      <c r="P368" s="4">
        <v>46084.0</v>
      </c>
      <c r="Q368" s="4">
        <v>46329.0</v>
      </c>
      <c r="R368" s="3">
        <v>1330.0</v>
      </c>
      <c r="S368" s="2" t="s">
        <v>718</v>
      </c>
      <c r="T368" s="2" t="s">
        <v>110</v>
      </c>
      <c r="U368" s="2" t="s">
        <v>115</v>
      </c>
      <c r="V368" s="2" t="s">
        <v>116</v>
      </c>
      <c r="W368" s="2" t="s">
        <v>51</v>
      </c>
      <c r="X368" s="2" t="s">
        <v>117</v>
      </c>
      <c r="Y368" s="2" t="s">
        <v>188</v>
      </c>
      <c r="Z368" s="3">
        <v>7.0</v>
      </c>
      <c r="AA368" s="2" t="s">
        <v>164</v>
      </c>
      <c r="AB368" s="3">
        <v>35.0</v>
      </c>
      <c r="AC368" s="3">
        <v>29.0</v>
      </c>
      <c r="AD368" s="7">
        <v>0.8879</v>
      </c>
      <c r="AE368" s="3">
        <v>103.0</v>
      </c>
      <c r="AF368" s="3">
        <v>4.0</v>
      </c>
      <c r="AG368" s="3">
        <v>0.0</v>
      </c>
      <c r="AH368" s="3">
        <v>4.0</v>
      </c>
      <c r="AI368" s="3">
        <v>0.0</v>
      </c>
      <c r="AJ368" s="3">
        <v>0.0</v>
      </c>
      <c r="AK368" s="3">
        <v>4.0</v>
      </c>
    </row>
    <row r="369">
      <c r="A369" s="2" t="s">
        <v>37</v>
      </c>
      <c r="B369" s="3">
        <v>36857.0</v>
      </c>
      <c r="C369" s="3" t="s">
        <v>71</v>
      </c>
      <c r="D369" s="3" t="s">
        <v>38</v>
      </c>
      <c r="E369" s="2" t="s">
        <v>72</v>
      </c>
      <c r="F369" s="3">
        <v>78249.0</v>
      </c>
      <c r="G369" s="2" t="s">
        <v>1208</v>
      </c>
      <c r="H369" s="5">
        <v>45618.660150462965</v>
      </c>
      <c r="I369" s="2" t="s">
        <v>1209</v>
      </c>
      <c r="J369" s="2" t="s">
        <v>156</v>
      </c>
      <c r="K369" s="2" t="s">
        <v>59</v>
      </c>
      <c r="L369" s="2" t="s">
        <v>44</v>
      </c>
      <c r="M369" s="2" t="s">
        <v>111</v>
      </c>
      <c r="N369" s="2" t="s">
        <v>90</v>
      </c>
      <c r="O369" s="2" t="s">
        <v>1210</v>
      </c>
      <c r="P369" s="4">
        <v>46084.0</v>
      </c>
      <c r="Q369" s="4">
        <v>46145.0</v>
      </c>
      <c r="R369" s="3">
        <v>1763.0</v>
      </c>
      <c r="S369" s="2" t="s">
        <v>325</v>
      </c>
      <c r="T369" s="2" t="s">
        <v>81</v>
      </c>
      <c r="U369" s="2" t="s">
        <v>140</v>
      </c>
      <c r="V369" s="2" t="s">
        <v>83</v>
      </c>
      <c r="W369" s="2" t="s">
        <v>68</v>
      </c>
      <c r="X369" s="2" t="s">
        <v>69</v>
      </c>
      <c r="Y369" s="2" t="s">
        <v>53</v>
      </c>
      <c r="Z369" s="3">
        <v>9.0</v>
      </c>
      <c r="AA369" s="2" t="s">
        <v>84</v>
      </c>
      <c r="AB369" s="3">
        <v>17.0</v>
      </c>
      <c r="AC369" s="3">
        <v>17.0</v>
      </c>
      <c r="AD369" s="7">
        <v>0.8824</v>
      </c>
      <c r="AE369" s="3">
        <v>30.0</v>
      </c>
      <c r="AF369" s="3">
        <v>2.0</v>
      </c>
      <c r="AG369" s="3">
        <v>0.0</v>
      </c>
      <c r="AH369" s="3">
        <v>0.0</v>
      </c>
      <c r="AI369" s="3">
        <v>2.0</v>
      </c>
      <c r="AJ369" s="3">
        <v>0.0</v>
      </c>
      <c r="AK369" s="3">
        <v>2.0</v>
      </c>
    </row>
    <row r="370">
      <c r="A370" s="2" t="s">
        <v>37</v>
      </c>
      <c r="B370" s="3">
        <v>38319.0</v>
      </c>
      <c r="C370" s="3" t="s">
        <v>439</v>
      </c>
      <c r="D370" s="3" t="s">
        <v>440</v>
      </c>
      <c r="E370" s="2" t="s">
        <v>39</v>
      </c>
      <c r="F370" s="3">
        <v>84086.0</v>
      </c>
      <c r="G370" s="2" t="s">
        <v>1211</v>
      </c>
      <c r="H370" s="5">
        <v>45860.466944444444</v>
      </c>
      <c r="I370" s="2" t="s">
        <v>57</v>
      </c>
      <c r="J370" s="2" t="s">
        <v>275</v>
      </c>
      <c r="K370" s="2" t="s">
        <v>59</v>
      </c>
      <c r="L370" s="2" t="s">
        <v>44</v>
      </c>
      <c r="M370" s="2" t="s">
        <v>89</v>
      </c>
      <c r="N370" s="2" t="s">
        <v>1212</v>
      </c>
      <c r="O370" s="2" t="s">
        <v>1213</v>
      </c>
      <c r="P370" s="4">
        <v>46084.0</v>
      </c>
      <c r="Q370" s="3" t="s">
        <v>393</v>
      </c>
      <c r="R370" s="3">
        <v>1808.0</v>
      </c>
      <c r="S370" s="2" t="s">
        <v>1121</v>
      </c>
      <c r="T370" s="2" t="s">
        <v>59</v>
      </c>
      <c r="U370" s="2" t="s">
        <v>160</v>
      </c>
      <c r="V370" s="2" t="s">
        <v>161</v>
      </c>
      <c r="W370" s="2" t="s">
        <v>51</v>
      </c>
      <c r="X370" s="2" t="s">
        <v>162</v>
      </c>
      <c r="Y370" s="2" t="s">
        <v>163</v>
      </c>
      <c r="Z370" s="3">
        <v>6.0</v>
      </c>
      <c r="AA370" s="2" t="s">
        <v>318</v>
      </c>
      <c r="AB370" s="3">
        <v>42.0</v>
      </c>
      <c r="AC370" s="3">
        <v>42.0</v>
      </c>
      <c r="AD370" s="7">
        <v>1.0</v>
      </c>
      <c r="AE370" s="3">
        <v>336.0</v>
      </c>
      <c r="AF370" s="3">
        <v>8.0</v>
      </c>
      <c r="AG370" s="3">
        <v>0.0</v>
      </c>
      <c r="AH370" s="3">
        <v>6.0</v>
      </c>
      <c r="AI370" s="3">
        <v>2.0</v>
      </c>
      <c r="AJ370" s="3">
        <v>0.0</v>
      </c>
      <c r="AK370" s="3">
        <v>8.0</v>
      </c>
    </row>
    <row r="371">
      <c r="A371" s="2" t="s">
        <v>37</v>
      </c>
      <c r="B371" s="3">
        <v>38288.0</v>
      </c>
      <c r="C371" s="3" t="s">
        <v>435</v>
      </c>
      <c r="D371" s="3" t="s">
        <v>38</v>
      </c>
      <c r="E371" s="2" t="s">
        <v>39</v>
      </c>
      <c r="F371" s="3">
        <v>80690.0</v>
      </c>
      <c r="G371" s="2" t="s">
        <v>1214</v>
      </c>
      <c r="H371" s="5">
        <v>45743.57417824074</v>
      </c>
      <c r="I371" s="2" t="s">
        <v>57</v>
      </c>
      <c r="J371" s="2" t="s">
        <v>204</v>
      </c>
      <c r="K371" s="2" t="s">
        <v>88</v>
      </c>
      <c r="L371" s="2" t="s">
        <v>44</v>
      </c>
      <c r="M371" s="2" t="s">
        <v>111</v>
      </c>
      <c r="N371" s="2" t="s">
        <v>1215</v>
      </c>
      <c r="O371" s="2" t="s">
        <v>1216</v>
      </c>
      <c r="P371" s="4">
        <v>46329.0</v>
      </c>
      <c r="Q371" s="3" t="s">
        <v>147</v>
      </c>
      <c r="R371" s="3">
        <v>1755.0</v>
      </c>
      <c r="S371" s="2" t="s">
        <v>438</v>
      </c>
      <c r="T371" s="2" t="s">
        <v>88</v>
      </c>
      <c r="U371" s="2" t="s">
        <v>94</v>
      </c>
      <c r="V371" s="2" t="s">
        <v>95</v>
      </c>
      <c r="W371" s="2" t="s">
        <v>51</v>
      </c>
      <c r="X371" s="2" t="s">
        <v>96</v>
      </c>
      <c r="Y371" s="2" t="s">
        <v>210</v>
      </c>
      <c r="Z371" s="3">
        <v>8.0</v>
      </c>
      <c r="AA371" s="2" t="s">
        <v>164</v>
      </c>
      <c r="AB371" s="3">
        <v>30.0</v>
      </c>
      <c r="AC371" s="3">
        <v>30.0</v>
      </c>
      <c r="AD371" s="7">
        <v>0.76</v>
      </c>
      <c r="AE371" s="3">
        <v>114.0</v>
      </c>
      <c r="AF371" s="3">
        <v>5.0</v>
      </c>
      <c r="AG371" s="3">
        <v>0.0</v>
      </c>
      <c r="AH371" s="3">
        <v>4.0</v>
      </c>
      <c r="AI371" s="3">
        <v>1.0</v>
      </c>
      <c r="AJ371" s="3">
        <v>0.0</v>
      </c>
      <c r="AK371" s="3">
        <v>5.0</v>
      </c>
    </row>
    <row r="372">
      <c r="A372" s="2" t="s">
        <v>37</v>
      </c>
      <c r="B372" s="3">
        <v>36992.0</v>
      </c>
      <c r="C372" s="4">
        <v>45662.0</v>
      </c>
      <c r="D372" s="3" t="s">
        <v>38</v>
      </c>
      <c r="E372" s="2" t="s">
        <v>72</v>
      </c>
      <c r="F372" s="3">
        <v>75059.0</v>
      </c>
      <c r="G372" s="2" t="s">
        <v>1217</v>
      </c>
      <c r="H372" s="5">
        <v>45499.656122685185</v>
      </c>
      <c r="I372" s="2" t="s">
        <v>57</v>
      </c>
      <c r="J372" s="2" t="s">
        <v>42</v>
      </c>
      <c r="K372" s="2" t="s">
        <v>43</v>
      </c>
      <c r="L372" s="2" t="s">
        <v>44</v>
      </c>
      <c r="M372" s="2" t="s">
        <v>89</v>
      </c>
      <c r="N372" s="2" t="s">
        <v>1218</v>
      </c>
      <c r="O372" s="2" t="s">
        <v>1219</v>
      </c>
      <c r="P372" s="4">
        <v>46056.0</v>
      </c>
      <c r="Q372" s="4">
        <v>46056.0</v>
      </c>
      <c r="R372" s="3">
        <v>1759.0</v>
      </c>
      <c r="S372" s="2" t="s">
        <v>124</v>
      </c>
      <c r="T372" s="2" t="s">
        <v>81</v>
      </c>
      <c r="U372" s="2" t="s">
        <v>82</v>
      </c>
      <c r="V372" s="2" t="s">
        <v>83</v>
      </c>
      <c r="W372" s="2" t="s">
        <v>68</v>
      </c>
      <c r="X372" s="2" t="s">
        <v>69</v>
      </c>
      <c r="Y372" s="2" t="s">
        <v>53</v>
      </c>
      <c r="Z372" s="3">
        <v>6.0</v>
      </c>
      <c r="AA372" s="2" t="s">
        <v>180</v>
      </c>
      <c r="AB372" s="3">
        <v>27.0</v>
      </c>
      <c r="AC372" s="3">
        <v>27.0</v>
      </c>
      <c r="AD372" s="7">
        <v>1.0</v>
      </c>
      <c r="AE372" s="3">
        <v>27.0</v>
      </c>
      <c r="AF372" s="3">
        <v>1.0</v>
      </c>
      <c r="AG372" s="3">
        <v>0.0</v>
      </c>
      <c r="AH372" s="3">
        <v>1.0</v>
      </c>
      <c r="AI372" s="3">
        <v>0.0</v>
      </c>
      <c r="AJ372" s="3">
        <v>0.0</v>
      </c>
      <c r="AK372" s="3">
        <v>1.0</v>
      </c>
    </row>
    <row r="373">
      <c r="A373" s="2" t="s">
        <v>37</v>
      </c>
      <c r="B373" s="3">
        <v>40192.0</v>
      </c>
      <c r="C373" s="3" t="s">
        <v>55</v>
      </c>
      <c r="D373" s="3" t="s">
        <v>38</v>
      </c>
      <c r="E373" s="2" t="s">
        <v>39</v>
      </c>
      <c r="F373" s="3">
        <v>75059.0</v>
      </c>
      <c r="G373" s="2" t="s">
        <v>1217</v>
      </c>
      <c r="H373" s="5">
        <v>45499.656122685185</v>
      </c>
      <c r="I373" s="2" t="s">
        <v>57</v>
      </c>
      <c r="J373" s="2" t="s">
        <v>42</v>
      </c>
      <c r="K373" s="2" t="s">
        <v>43</v>
      </c>
      <c r="L373" s="2" t="s">
        <v>44</v>
      </c>
      <c r="M373" s="2" t="s">
        <v>89</v>
      </c>
      <c r="N373" s="2" t="s">
        <v>1218</v>
      </c>
      <c r="O373" s="2" t="s">
        <v>1219</v>
      </c>
      <c r="P373" s="4">
        <v>46145.0</v>
      </c>
      <c r="Q373" s="3" t="s">
        <v>236</v>
      </c>
      <c r="R373" s="3">
        <v>1791.0</v>
      </c>
      <c r="S373" s="2" t="s">
        <v>64</v>
      </c>
      <c r="T373" s="2" t="s">
        <v>65</v>
      </c>
      <c r="U373" s="2" t="s">
        <v>66</v>
      </c>
      <c r="V373" s="2" t="s">
        <v>67</v>
      </c>
      <c r="W373" s="2" t="s">
        <v>68</v>
      </c>
      <c r="X373" s="2" t="s">
        <v>69</v>
      </c>
      <c r="Y373" s="2" t="s">
        <v>53</v>
      </c>
      <c r="Z373" s="3">
        <v>8.0</v>
      </c>
      <c r="AA373" s="2" t="s">
        <v>105</v>
      </c>
      <c r="AB373" s="3">
        <v>35.0</v>
      </c>
      <c r="AC373" s="3">
        <v>35.0</v>
      </c>
      <c r="AD373" s="7">
        <v>1.0</v>
      </c>
      <c r="AE373" s="3">
        <v>175.0</v>
      </c>
      <c r="AF373" s="3">
        <v>5.0</v>
      </c>
      <c r="AG373" s="3">
        <v>0.0</v>
      </c>
      <c r="AH373" s="3">
        <v>4.0</v>
      </c>
      <c r="AI373" s="3">
        <v>1.0</v>
      </c>
      <c r="AJ373" s="3">
        <v>0.0</v>
      </c>
      <c r="AK373" s="3">
        <v>5.0</v>
      </c>
    </row>
    <row r="374">
      <c r="A374" s="2" t="s">
        <v>37</v>
      </c>
      <c r="B374" s="3">
        <v>40051.0</v>
      </c>
      <c r="C374" s="4">
        <v>46357.0</v>
      </c>
      <c r="D374" s="3" t="s">
        <v>38</v>
      </c>
      <c r="E374" s="2" t="s">
        <v>72</v>
      </c>
      <c r="F374" s="3">
        <v>80689.0</v>
      </c>
      <c r="G374" s="2" t="s">
        <v>1220</v>
      </c>
      <c r="H374" s="5">
        <v>45743.550833333335</v>
      </c>
      <c r="I374" s="2" t="s">
        <v>57</v>
      </c>
      <c r="J374" s="2" t="s">
        <v>1221</v>
      </c>
      <c r="K374" s="2" t="s">
        <v>48</v>
      </c>
      <c r="L374" s="2" t="s">
        <v>44</v>
      </c>
      <c r="M374" s="2" t="s">
        <v>60</v>
      </c>
      <c r="N374" s="2" t="s">
        <v>1222</v>
      </c>
      <c r="O374" s="2" t="s">
        <v>1223</v>
      </c>
      <c r="P374" s="4">
        <v>46115.0</v>
      </c>
      <c r="Q374" s="4">
        <v>46359.0</v>
      </c>
      <c r="R374" s="3">
        <v>2050.0</v>
      </c>
      <c r="S374" s="2" t="s">
        <v>655</v>
      </c>
      <c r="T374" s="2" t="s">
        <v>128</v>
      </c>
      <c r="U374" s="2" t="s">
        <v>316</v>
      </c>
      <c r="V374" s="2" t="s">
        <v>317</v>
      </c>
      <c r="W374" s="2" t="s">
        <v>51</v>
      </c>
      <c r="X374" s="2" t="s">
        <v>52</v>
      </c>
      <c r="Y374" s="2" t="s">
        <v>53</v>
      </c>
      <c r="Z374" s="3">
        <v>6.0</v>
      </c>
      <c r="AA374" s="2" t="s">
        <v>318</v>
      </c>
      <c r="AB374" s="3">
        <v>32.0</v>
      </c>
      <c r="AC374" s="3">
        <v>32.0</v>
      </c>
      <c r="AD374" s="7">
        <v>0.7813</v>
      </c>
      <c r="AE374" s="3">
        <v>100.0</v>
      </c>
      <c r="AF374" s="3">
        <v>4.0</v>
      </c>
      <c r="AG374" s="3">
        <v>0.0</v>
      </c>
      <c r="AH374" s="3">
        <v>4.0</v>
      </c>
      <c r="AI374" s="3">
        <v>0.0</v>
      </c>
      <c r="AJ374" s="3">
        <v>0.0</v>
      </c>
      <c r="AK374" s="3">
        <v>4.0</v>
      </c>
    </row>
    <row r="375">
      <c r="A375" s="2" t="s">
        <v>37</v>
      </c>
      <c r="B375" s="3">
        <v>37056.0</v>
      </c>
      <c r="C375" s="3" t="s">
        <v>196</v>
      </c>
      <c r="D375" s="3" t="s">
        <v>38</v>
      </c>
      <c r="E375" s="2" t="s">
        <v>39</v>
      </c>
      <c r="F375" s="3">
        <v>74505.0</v>
      </c>
      <c r="G375" s="2" t="s">
        <v>1224</v>
      </c>
      <c r="H375" s="5">
        <v>45489.36292824074</v>
      </c>
      <c r="I375" s="2" t="s">
        <v>752</v>
      </c>
      <c r="J375" s="2" t="s">
        <v>127</v>
      </c>
      <c r="K375" s="2" t="s">
        <v>128</v>
      </c>
      <c r="L375" s="2" t="s">
        <v>44</v>
      </c>
      <c r="M375" s="2" t="s">
        <v>1225</v>
      </c>
      <c r="N375" s="6"/>
      <c r="O375" s="2" t="s">
        <v>1226</v>
      </c>
      <c r="P375" s="4">
        <v>46056.0</v>
      </c>
      <c r="Q375" s="4">
        <v>46298.0</v>
      </c>
      <c r="R375" s="3">
        <v>1695.0</v>
      </c>
      <c r="S375" s="2" t="s">
        <v>294</v>
      </c>
      <c r="T375" s="2" t="s">
        <v>48</v>
      </c>
      <c r="U375" s="2" t="s">
        <v>49</v>
      </c>
      <c r="V375" s="2" t="s">
        <v>50</v>
      </c>
      <c r="W375" s="2" t="s">
        <v>51</v>
      </c>
      <c r="X375" s="2" t="s">
        <v>52</v>
      </c>
      <c r="Y375" s="2" t="s">
        <v>53</v>
      </c>
      <c r="Z375" s="3">
        <v>7.0</v>
      </c>
      <c r="AA375" s="2" t="s">
        <v>54</v>
      </c>
      <c r="AB375" s="3">
        <v>31.0</v>
      </c>
      <c r="AC375" s="3">
        <v>31.0</v>
      </c>
      <c r="AD375" s="7">
        <v>0.871</v>
      </c>
      <c r="AE375" s="3">
        <v>81.0</v>
      </c>
      <c r="AF375" s="3">
        <v>3.0</v>
      </c>
      <c r="AG375" s="3">
        <v>0.0</v>
      </c>
      <c r="AH375" s="3">
        <v>3.0</v>
      </c>
      <c r="AI375" s="3">
        <v>0.0</v>
      </c>
      <c r="AJ375" s="3">
        <v>0.0</v>
      </c>
      <c r="AK375" s="3">
        <v>3.0</v>
      </c>
    </row>
    <row r="376">
      <c r="A376" s="2" t="s">
        <v>37</v>
      </c>
      <c r="B376" s="3">
        <v>37377.0</v>
      </c>
      <c r="C376" s="3" t="s">
        <v>85</v>
      </c>
      <c r="D376" s="3" t="s">
        <v>38</v>
      </c>
      <c r="E376" s="2" t="s">
        <v>39</v>
      </c>
      <c r="F376" s="3">
        <v>80861.0</v>
      </c>
      <c r="G376" s="2" t="s">
        <v>1227</v>
      </c>
      <c r="H376" s="5">
        <v>45756.94403935185</v>
      </c>
      <c r="I376" s="2" t="s">
        <v>57</v>
      </c>
      <c r="J376" s="2" t="s">
        <v>351</v>
      </c>
      <c r="K376" s="2" t="s">
        <v>88</v>
      </c>
      <c r="L376" s="2" t="s">
        <v>44</v>
      </c>
      <c r="M376" s="2" t="s">
        <v>60</v>
      </c>
      <c r="N376" s="2" t="s">
        <v>1228</v>
      </c>
      <c r="O376" s="2" t="s">
        <v>1229</v>
      </c>
      <c r="P376" s="4">
        <v>46268.0</v>
      </c>
      <c r="Q376" s="3" t="s">
        <v>208</v>
      </c>
      <c r="R376" s="3">
        <v>1755.0</v>
      </c>
      <c r="S376" s="2" t="s">
        <v>438</v>
      </c>
      <c r="T376" s="2" t="s">
        <v>88</v>
      </c>
      <c r="U376" s="2" t="s">
        <v>94</v>
      </c>
      <c r="V376" s="2" t="s">
        <v>95</v>
      </c>
      <c r="W376" s="2" t="s">
        <v>51</v>
      </c>
      <c r="X376" s="2" t="s">
        <v>96</v>
      </c>
      <c r="Y376" s="2" t="s">
        <v>53</v>
      </c>
      <c r="Z376" s="3">
        <v>6.0</v>
      </c>
      <c r="AA376" s="2" t="s">
        <v>1230</v>
      </c>
      <c r="AB376" s="3">
        <v>43.0</v>
      </c>
      <c r="AC376" s="3">
        <v>43.0</v>
      </c>
      <c r="AD376" s="7">
        <v>0.8527</v>
      </c>
      <c r="AE376" s="3">
        <v>110.0</v>
      </c>
      <c r="AF376" s="3">
        <v>4.0</v>
      </c>
      <c r="AG376" s="3">
        <v>0.0</v>
      </c>
      <c r="AH376" s="3">
        <v>1.0</v>
      </c>
      <c r="AI376" s="3">
        <v>2.0</v>
      </c>
      <c r="AJ376" s="3">
        <v>1.0</v>
      </c>
      <c r="AK376" s="3">
        <v>3.0</v>
      </c>
    </row>
    <row r="377">
      <c r="A377" s="2" t="s">
        <v>37</v>
      </c>
      <c r="B377" s="3">
        <v>37047.0</v>
      </c>
      <c r="C377" s="3" t="s">
        <v>196</v>
      </c>
      <c r="D377" s="3" t="s">
        <v>38</v>
      </c>
      <c r="E377" s="2" t="s">
        <v>39</v>
      </c>
      <c r="F377" s="3">
        <v>85257.0</v>
      </c>
      <c r="G377" s="2" t="s">
        <v>1231</v>
      </c>
      <c r="H377" s="5">
        <v>45894.50670138889</v>
      </c>
      <c r="I377" s="2" t="s">
        <v>488</v>
      </c>
      <c r="J377" s="2" t="s">
        <v>127</v>
      </c>
      <c r="K377" s="2" t="s">
        <v>128</v>
      </c>
      <c r="L377" s="2" t="s">
        <v>44</v>
      </c>
      <c r="M377" s="2" t="s">
        <v>364</v>
      </c>
      <c r="N377" s="2" t="s">
        <v>1232</v>
      </c>
      <c r="O377" s="2" t="s">
        <v>1233</v>
      </c>
      <c r="P377" s="4">
        <v>46056.0</v>
      </c>
      <c r="Q377" s="4">
        <v>46298.0</v>
      </c>
      <c r="R377" s="3">
        <v>1696.0</v>
      </c>
      <c r="S377" s="2" t="s">
        <v>202</v>
      </c>
      <c r="T377" s="2" t="s">
        <v>48</v>
      </c>
      <c r="U377" s="2" t="s">
        <v>49</v>
      </c>
      <c r="V377" s="2" t="s">
        <v>50</v>
      </c>
      <c r="W377" s="2" t="s">
        <v>51</v>
      </c>
      <c r="X377" s="2" t="s">
        <v>52</v>
      </c>
      <c r="Y377" s="2" t="s">
        <v>53</v>
      </c>
      <c r="Z377" s="3">
        <v>8.0</v>
      </c>
      <c r="AA377" s="2" t="s">
        <v>54</v>
      </c>
      <c r="AB377" s="3">
        <v>13.0</v>
      </c>
      <c r="AC377" s="3">
        <v>13.0</v>
      </c>
      <c r="AD377" s="7">
        <v>0.9744</v>
      </c>
      <c r="AE377" s="3">
        <v>38.0</v>
      </c>
      <c r="AF377" s="3">
        <v>3.0</v>
      </c>
      <c r="AG377" s="3">
        <v>0.0</v>
      </c>
      <c r="AH377" s="3">
        <v>3.0</v>
      </c>
      <c r="AI377" s="3">
        <v>0.0</v>
      </c>
      <c r="AJ377" s="3">
        <v>0.0</v>
      </c>
      <c r="AK377" s="3">
        <v>3.0</v>
      </c>
    </row>
    <row r="378">
      <c r="A378" s="2" t="s">
        <v>37</v>
      </c>
      <c r="B378" s="3">
        <v>39995.0</v>
      </c>
      <c r="C378" s="3" t="s">
        <v>755</v>
      </c>
      <c r="D378" s="3" t="s">
        <v>38</v>
      </c>
      <c r="E378" s="2" t="s">
        <v>72</v>
      </c>
      <c r="F378" s="3">
        <v>87210.0</v>
      </c>
      <c r="G378" s="2" t="s">
        <v>1234</v>
      </c>
      <c r="H378" s="5">
        <v>45994.638333333336</v>
      </c>
      <c r="I378" s="2" t="s">
        <v>499</v>
      </c>
      <c r="J378" s="2" t="s">
        <v>42</v>
      </c>
      <c r="K378" s="2" t="s">
        <v>43</v>
      </c>
      <c r="L378" s="2" t="s">
        <v>44</v>
      </c>
      <c r="M378" s="2" t="s">
        <v>99</v>
      </c>
      <c r="N378" s="2" t="s">
        <v>830</v>
      </c>
      <c r="O378" s="2" t="s">
        <v>1235</v>
      </c>
      <c r="P378" s="4">
        <v>46056.0</v>
      </c>
      <c r="Q378" s="4">
        <v>46056.0</v>
      </c>
      <c r="R378" s="3">
        <v>2045.0</v>
      </c>
      <c r="S378" s="2" t="s">
        <v>259</v>
      </c>
      <c r="T378" s="2" t="s">
        <v>43</v>
      </c>
      <c r="U378" s="2" t="s">
        <v>178</v>
      </c>
      <c r="V378" s="2" t="s">
        <v>179</v>
      </c>
      <c r="W378" s="2" t="s">
        <v>68</v>
      </c>
      <c r="X378" s="2" t="s">
        <v>172</v>
      </c>
      <c r="Y378" s="2" t="s">
        <v>53</v>
      </c>
      <c r="Z378" s="3">
        <v>5.0</v>
      </c>
      <c r="AA378" s="2" t="s">
        <v>180</v>
      </c>
      <c r="AB378" s="3">
        <v>45.0</v>
      </c>
      <c r="AC378" s="3">
        <v>45.0</v>
      </c>
      <c r="AD378" s="7">
        <v>0.8444</v>
      </c>
      <c r="AE378" s="3">
        <v>38.0</v>
      </c>
      <c r="AF378" s="3">
        <v>1.0</v>
      </c>
      <c r="AG378" s="3">
        <v>0.0</v>
      </c>
      <c r="AH378" s="3">
        <v>1.0</v>
      </c>
      <c r="AI378" s="3">
        <v>0.0</v>
      </c>
      <c r="AJ378" s="3">
        <v>0.0</v>
      </c>
      <c r="AK378" s="3">
        <v>1.0</v>
      </c>
    </row>
    <row r="379">
      <c r="A379" s="2" t="s">
        <v>37</v>
      </c>
      <c r="B379" s="3">
        <v>39996.0</v>
      </c>
      <c r="C379" s="3" t="s">
        <v>755</v>
      </c>
      <c r="D379" s="3" t="s">
        <v>38</v>
      </c>
      <c r="E379" s="2" t="s">
        <v>72</v>
      </c>
      <c r="F379" s="3">
        <v>87210.0</v>
      </c>
      <c r="G379" s="2" t="s">
        <v>1234</v>
      </c>
      <c r="H379" s="5">
        <v>45994.638333333336</v>
      </c>
      <c r="I379" s="2" t="s">
        <v>499</v>
      </c>
      <c r="J379" s="2" t="s">
        <v>42</v>
      </c>
      <c r="K379" s="2" t="s">
        <v>43</v>
      </c>
      <c r="L379" s="2" t="s">
        <v>44</v>
      </c>
      <c r="M379" s="2" t="s">
        <v>99</v>
      </c>
      <c r="N379" s="2" t="s">
        <v>830</v>
      </c>
      <c r="O379" s="2" t="s">
        <v>1235</v>
      </c>
      <c r="P379" s="4">
        <v>46084.0</v>
      </c>
      <c r="Q379" s="4">
        <v>46084.0</v>
      </c>
      <c r="R379" s="3">
        <v>2045.0</v>
      </c>
      <c r="S379" s="2" t="s">
        <v>259</v>
      </c>
      <c r="T379" s="2" t="s">
        <v>43</v>
      </c>
      <c r="U379" s="2" t="s">
        <v>178</v>
      </c>
      <c r="V379" s="2" t="s">
        <v>179</v>
      </c>
      <c r="W379" s="2" t="s">
        <v>68</v>
      </c>
      <c r="X379" s="2" t="s">
        <v>172</v>
      </c>
      <c r="Y379" s="2" t="s">
        <v>53</v>
      </c>
      <c r="Z379" s="3">
        <v>6.0</v>
      </c>
      <c r="AA379" s="2" t="s">
        <v>180</v>
      </c>
      <c r="AB379" s="3">
        <v>26.0</v>
      </c>
      <c r="AC379" s="3">
        <v>26.0</v>
      </c>
      <c r="AD379" s="7">
        <v>0.7308</v>
      </c>
      <c r="AE379" s="3">
        <v>19.0</v>
      </c>
      <c r="AF379" s="3">
        <v>1.0</v>
      </c>
      <c r="AG379" s="3">
        <v>0.0</v>
      </c>
      <c r="AH379" s="3">
        <v>1.0</v>
      </c>
      <c r="AI379" s="3">
        <v>0.0</v>
      </c>
      <c r="AJ379" s="3">
        <v>0.0</v>
      </c>
      <c r="AK379" s="3">
        <v>1.0</v>
      </c>
    </row>
    <row r="380">
      <c r="A380" s="2" t="s">
        <v>37</v>
      </c>
      <c r="B380" s="3">
        <v>39997.0</v>
      </c>
      <c r="C380" s="3" t="s">
        <v>755</v>
      </c>
      <c r="D380" s="3" t="s">
        <v>38</v>
      </c>
      <c r="E380" s="2" t="s">
        <v>72</v>
      </c>
      <c r="F380" s="3">
        <v>87210.0</v>
      </c>
      <c r="G380" s="2" t="s">
        <v>1234</v>
      </c>
      <c r="H380" s="5">
        <v>45994.638333333336</v>
      </c>
      <c r="I380" s="2" t="s">
        <v>499</v>
      </c>
      <c r="J380" s="2" t="s">
        <v>42</v>
      </c>
      <c r="K380" s="2" t="s">
        <v>43</v>
      </c>
      <c r="L380" s="2" t="s">
        <v>44</v>
      </c>
      <c r="M380" s="2" t="s">
        <v>99</v>
      </c>
      <c r="N380" s="2" t="s">
        <v>830</v>
      </c>
      <c r="O380" s="2" t="s">
        <v>1235</v>
      </c>
      <c r="P380" s="4">
        <v>46115.0</v>
      </c>
      <c r="Q380" s="4">
        <v>46115.0</v>
      </c>
      <c r="R380" s="3">
        <v>2045.0</v>
      </c>
      <c r="S380" s="2" t="s">
        <v>259</v>
      </c>
      <c r="T380" s="2" t="s">
        <v>43</v>
      </c>
      <c r="U380" s="2" t="s">
        <v>178</v>
      </c>
      <c r="V380" s="2" t="s">
        <v>179</v>
      </c>
      <c r="W380" s="2" t="s">
        <v>68</v>
      </c>
      <c r="X380" s="2" t="s">
        <v>172</v>
      </c>
      <c r="Y380" s="2" t="s">
        <v>53</v>
      </c>
      <c r="Z380" s="3">
        <v>7.0</v>
      </c>
      <c r="AA380" s="2" t="s">
        <v>180</v>
      </c>
      <c r="AB380" s="3">
        <v>28.0</v>
      </c>
      <c r="AC380" s="3">
        <v>28.0</v>
      </c>
      <c r="AD380" s="7">
        <v>0.8571</v>
      </c>
      <c r="AE380" s="3">
        <v>24.0</v>
      </c>
      <c r="AF380" s="3">
        <v>1.0</v>
      </c>
      <c r="AG380" s="3">
        <v>0.0</v>
      </c>
      <c r="AH380" s="3">
        <v>1.0</v>
      </c>
      <c r="AI380" s="3">
        <v>0.0</v>
      </c>
      <c r="AJ380" s="3">
        <v>0.0</v>
      </c>
      <c r="AK380" s="3">
        <v>1.0</v>
      </c>
    </row>
    <row r="381">
      <c r="A381" s="2" t="s">
        <v>37</v>
      </c>
      <c r="B381" s="3">
        <v>39748.0</v>
      </c>
      <c r="C381" s="3" t="s">
        <v>189</v>
      </c>
      <c r="D381" s="3" t="s">
        <v>38</v>
      </c>
      <c r="E381" s="2" t="s">
        <v>39</v>
      </c>
      <c r="F381" s="3">
        <v>70327.0</v>
      </c>
      <c r="G381" s="2" t="s">
        <v>1236</v>
      </c>
      <c r="H381" s="5">
        <v>45265.02611111111</v>
      </c>
      <c r="I381" s="2" t="s">
        <v>57</v>
      </c>
      <c r="J381" s="2" t="s">
        <v>275</v>
      </c>
      <c r="K381" s="2" t="s">
        <v>59</v>
      </c>
      <c r="L381" s="2" t="s">
        <v>44</v>
      </c>
      <c r="M381" s="2" t="s">
        <v>89</v>
      </c>
      <c r="N381" s="2" t="s">
        <v>1237</v>
      </c>
      <c r="O381" s="2" t="s">
        <v>1238</v>
      </c>
      <c r="P381" s="4">
        <v>46115.0</v>
      </c>
      <c r="Q381" s="3" t="s">
        <v>194</v>
      </c>
      <c r="R381" s="3">
        <v>1338.0</v>
      </c>
      <c r="S381" s="2" t="s">
        <v>542</v>
      </c>
      <c r="T381" s="2" t="s">
        <v>110</v>
      </c>
      <c r="U381" s="2" t="s">
        <v>115</v>
      </c>
      <c r="V381" s="2" t="s">
        <v>116</v>
      </c>
      <c r="W381" s="2" t="s">
        <v>51</v>
      </c>
      <c r="X381" s="2" t="s">
        <v>117</v>
      </c>
      <c r="Y381" s="2" t="s">
        <v>53</v>
      </c>
      <c r="Z381" s="3">
        <v>7.0</v>
      </c>
      <c r="AA381" s="2" t="s">
        <v>54</v>
      </c>
      <c r="AB381" s="3">
        <v>26.0</v>
      </c>
      <c r="AC381" s="3">
        <v>26.0</v>
      </c>
      <c r="AD381" s="7">
        <v>1.0</v>
      </c>
      <c r="AE381" s="3">
        <v>104.0</v>
      </c>
      <c r="AF381" s="3">
        <v>4.0</v>
      </c>
      <c r="AG381" s="3">
        <v>0.0</v>
      </c>
      <c r="AH381" s="3">
        <v>4.0</v>
      </c>
      <c r="AI381" s="3">
        <v>0.0</v>
      </c>
      <c r="AJ381" s="3">
        <v>0.0</v>
      </c>
      <c r="AK381" s="3">
        <v>4.0</v>
      </c>
    </row>
    <row r="382">
      <c r="A382" s="2" t="s">
        <v>37</v>
      </c>
      <c r="B382" s="3">
        <v>39006.0</v>
      </c>
      <c r="C382" s="3" t="s">
        <v>142</v>
      </c>
      <c r="D382" s="5">
        <v>46112.99998842592</v>
      </c>
      <c r="E382" s="2" t="s">
        <v>39</v>
      </c>
      <c r="F382" s="3">
        <v>85654.0</v>
      </c>
      <c r="G382" s="2" t="s">
        <v>1239</v>
      </c>
      <c r="H382" s="5">
        <v>45908.80810185185</v>
      </c>
      <c r="I382" s="2" t="s">
        <v>1240</v>
      </c>
      <c r="J382" s="2" t="s">
        <v>42</v>
      </c>
      <c r="K382" s="2" t="s">
        <v>43</v>
      </c>
      <c r="L382" s="2" t="s">
        <v>44</v>
      </c>
      <c r="M382" s="2" t="s">
        <v>111</v>
      </c>
      <c r="N382" s="2" t="s">
        <v>374</v>
      </c>
      <c r="O382" s="2" t="s">
        <v>1241</v>
      </c>
      <c r="P382" s="4">
        <v>46329.0</v>
      </c>
      <c r="Q382" s="3" t="s">
        <v>147</v>
      </c>
      <c r="R382" s="3">
        <v>1999.0</v>
      </c>
      <c r="S382" s="2" t="s">
        <v>510</v>
      </c>
      <c r="T382" s="2" t="s">
        <v>88</v>
      </c>
      <c r="U382" s="2" t="s">
        <v>149</v>
      </c>
      <c r="V382" s="2" t="s">
        <v>150</v>
      </c>
      <c r="W382" s="2" t="s">
        <v>51</v>
      </c>
      <c r="X382" s="2" t="s">
        <v>96</v>
      </c>
      <c r="Y382" s="2" t="s">
        <v>210</v>
      </c>
      <c r="Z382" s="3">
        <v>8.0</v>
      </c>
      <c r="AA382" s="2" t="s">
        <v>164</v>
      </c>
      <c r="AB382" s="3">
        <v>16.0</v>
      </c>
      <c r="AC382" s="3">
        <v>16.0</v>
      </c>
      <c r="AD382" s="7">
        <v>1.0</v>
      </c>
      <c r="AE382" s="3">
        <v>64.0</v>
      </c>
      <c r="AF382" s="3">
        <v>4.0</v>
      </c>
      <c r="AG382" s="3">
        <v>0.0</v>
      </c>
      <c r="AH382" s="3">
        <v>0.0</v>
      </c>
      <c r="AI382" s="3">
        <v>4.0</v>
      </c>
      <c r="AJ382" s="3">
        <v>0.0</v>
      </c>
      <c r="AK382" s="3">
        <v>4.0</v>
      </c>
    </row>
    <row r="383">
      <c r="A383" s="2" t="s">
        <v>37</v>
      </c>
      <c r="B383" s="3">
        <v>38995.0</v>
      </c>
      <c r="C383" s="3" t="s">
        <v>142</v>
      </c>
      <c r="D383" s="5">
        <v>46112.99998842592</v>
      </c>
      <c r="E383" s="2" t="s">
        <v>39</v>
      </c>
      <c r="F383" s="3">
        <v>85662.0</v>
      </c>
      <c r="G383" s="2" t="s">
        <v>1242</v>
      </c>
      <c r="H383" s="5">
        <v>45909.47366898148</v>
      </c>
      <c r="I383" s="2" t="s">
        <v>57</v>
      </c>
      <c r="J383" s="2" t="s">
        <v>204</v>
      </c>
      <c r="K383" s="2" t="s">
        <v>88</v>
      </c>
      <c r="L383" s="2" t="s">
        <v>44</v>
      </c>
      <c r="M383" s="2" t="s">
        <v>205</v>
      </c>
      <c r="N383" s="2" t="s">
        <v>1027</v>
      </c>
      <c r="O383" s="2" t="s">
        <v>1243</v>
      </c>
      <c r="P383" s="4">
        <v>46298.0</v>
      </c>
      <c r="Q383" s="3" t="s">
        <v>92</v>
      </c>
      <c r="R383" s="3">
        <v>1997.0</v>
      </c>
      <c r="S383" s="2" t="s">
        <v>148</v>
      </c>
      <c r="T383" s="2" t="s">
        <v>88</v>
      </c>
      <c r="U383" s="2" t="s">
        <v>149</v>
      </c>
      <c r="V383" s="2" t="s">
        <v>150</v>
      </c>
      <c r="W383" s="2" t="s">
        <v>51</v>
      </c>
      <c r="X383" s="2" t="s">
        <v>96</v>
      </c>
      <c r="Y383" s="2" t="s">
        <v>210</v>
      </c>
      <c r="Z383" s="3">
        <v>7.0</v>
      </c>
      <c r="AA383" s="2" t="s">
        <v>164</v>
      </c>
      <c r="AB383" s="3">
        <v>50.0</v>
      </c>
      <c r="AC383" s="3">
        <v>50.0</v>
      </c>
      <c r="AD383" s="7">
        <v>0.64</v>
      </c>
      <c r="AE383" s="3">
        <v>160.0</v>
      </c>
      <c r="AF383" s="3">
        <v>5.0</v>
      </c>
      <c r="AG383" s="3">
        <v>0.0</v>
      </c>
      <c r="AH383" s="3">
        <v>1.0</v>
      </c>
      <c r="AI383" s="3">
        <v>4.0</v>
      </c>
      <c r="AJ383" s="3">
        <v>0.0</v>
      </c>
      <c r="AK383" s="3">
        <v>5.0</v>
      </c>
    </row>
    <row r="384">
      <c r="A384" s="2" t="s">
        <v>37</v>
      </c>
      <c r="B384" s="3">
        <v>38957.0</v>
      </c>
      <c r="C384" s="4">
        <v>45661.0</v>
      </c>
      <c r="D384" s="5">
        <v>46112.99998842592</v>
      </c>
      <c r="E384" s="2" t="s">
        <v>39</v>
      </c>
      <c r="F384" s="3">
        <v>85936.0</v>
      </c>
      <c r="G384" s="2" t="s">
        <v>1244</v>
      </c>
      <c r="H384" s="5">
        <v>45918.42869212963</v>
      </c>
      <c r="I384" s="2" t="s">
        <v>442</v>
      </c>
      <c r="J384" s="2" t="s">
        <v>351</v>
      </c>
      <c r="K384" s="2" t="s">
        <v>88</v>
      </c>
      <c r="L384" s="2" t="s">
        <v>44</v>
      </c>
      <c r="M384" s="2" t="s">
        <v>111</v>
      </c>
      <c r="N384" s="2" t="s">
        <v>157</v>
      </c>
      <c r="O384" s="2" t="s">
        <v>1245</v>
      </c>
      <c r="P384" s="4">
        <v>46298.0</v>
      </c>
      <c r="Q384" s="3" t="s">
        <v>92</v>
      </c>
      <c r="R384" s="3">
        <v>1998.0</v>
      </c>
      <c r="S384" s="2" t="s">
        <v>583</v>
      </c>
      <c r="T384" s="2" t="s">
        <v>88</v>
      </c>
      <c r="U384" s="2" t="s">
        <v>149</v>
      </c>
      <c r="V384" s="2" t="s">
        <v>150</v>
      </c>
      <c r="W384" s="2" t="s">
        <v>51</v>
      </c>
      <c r="X384" s="2" t="s">
        <v>96</v>
      </c>
      <c r="Y384" s="2" t="s">
        <v>210</v>
      </c>
      <c r="Z384" s="3">
        <v>6.0</v>
      </c>
      <c r="AA384" s="2" t="s">
        <v>164</v>
      </c>
      <c r="AB384" s="3">
        <v>16.0</v>
      </c>
      <c r="AC384" s="3">
        <v>15.0</v>
      </c>
      <c r="AD384" s="7">
        <v>0.7667</v>
      </c>
      <c r="AE384" s="3">
        <v>46.0</v>
      </c>
      <c r="AF384" s="3">
        <v>4.0</v>
      </c>
      <c r="AG384" s="3">
        <v>0.0</v>
      </c>
      <c r="AH384" s="3">
        <v>3.0</v>
      </c>
      <c r="AI384" s="3">
        <v>1.0</v>
      </c>
      <c r="AJ384" s="3">
        <v>0.0</v>
      </c>
      <c r="AK384" s="3">
        <v>4.0</v>
      </c>
    </row>
    <row r="385">
      <c r="A385" s="2" t="s">
        <v>37</v>
      </c>
      <c r="B385" s="3">
        <v>37066.0</v>
      </c>
      <c r="C385" s="3" t="s">
        <v>807</v>
      </c>
      <c r="D385" s="3" t="s">
        <v>38</v>
      </c>
      <c r="E385" s="2" t="s">
        <v>39</v>
      </c>
      <c r="F385" s="3">
        <v>82239.0</v>
      </c>
      <c r="G385" s="2" t="s">
        <v>1246</v>
      </c>
      <c r="H385" s="5">
        <v>45833.502905092595</v>
      </c>
      <c r="I385" s="2" t="s">
        <v>442</v>
      </c>
      <c r="J385" s="2" t="s">
        <v>127</v>
      </c>
      <c r="K385" s="2" t="s">
        <v>128</v>
      </c>
      <c r="L385" s="2" t="s">
        <v>44</v>
      </c>
      <c r="M385" s="2" t="s">
        <v>99</v>
      </c>
      <c r="N385" s="2" t="s">
        <v>1247</v>
      </c>
      <c r="O385" s="2" t="s">
        <v>1248</v>
      </c>
      <c r="P385" s="4">
        <v>46115.0</v>
      </c>
      <c r="Q385" s="4">
        <v>46329.0</v>
      </c>
      <c r="R385" s="3">
        <v>1698.0</v>
      </c>
      <c r="S385" s="2" t="s">
        <v>336</v>
      </c>
      <c r="T385" s="2" t="s">
        <v>48</v>
      </c>
      <c r="U385" s="2" t="s">
        <v>49</v>
      </c>
      <c r="V385" s="2" t="s">
        <v>50</v>
      </c>
      <c r="W385" s="2" t="s">
        <v>51</v>
      </c>
      <c r="X385" s="2" t="s">
        <v>52</v>
      </c>
      <c r="Y385" s="2" t="s">
        <v>53</v>
      </c>
      <c r="Z385" s="3">
        <v>7.0</v>
      </c>
      <c r="AA385" s="2" t="s">
        <v>54</v>
      </c>
      <c r="AB385" s="3">
        <v>14.0</v>
      </c>
      <c r="AC385" s="3">
        <v>14.0</v>
      </c>
      <c r="AD385" s="7">
        <v>0.8333</v>
      </c>
      <c r="AE385" s="3">
        <v>35.0</v>
      </c>
      <c r="AF385" s="3">
        <v>3.0</v>
      </c>
      <c r="AG385" s="3">
        <v>0.0</v>
      </c>
      <c r="AH385" s="3">
        <v>3.0</v>
      </c>
      <c r="AI385" s="3">
        <v>0.0</v>
      </c>
      <c r="AJ385" s="3">
        <v>0.0</v>
      </c>
      <c r="AK385" s="3">
        <v>3.0</v>
      </c>
    </row>
    <row r="386">
      <c r="A386" s="2" t="s">
        <v>37</v>
      </c>
      <c r="B386" s="3">
        <v>36846.0</v>
      </c>
      <c r="C386" s="3" t="s">
        <v>71</v>
      </c>
      <c r="D386" s="3" t="s">
        <v>38</v>
      </c>
      <c r="E386" s="2" t="s">
        <v>72</v>
      </c>
      <c r="F386" s="3">
        <v>86024.0</v>
      </c>
      <c r="G386" s="2" t="s">
        <v>1249</v>
      </c>
      <c r="H386" s="5">
        <v>45920.590474537035</v>
      </c>
      <c r="I386" s="2" t="s">
        <v>57</v>
      </c>
      <c r="J386" s="2" t="s">
        <v>848</v>
      </c>
      <c r="K386" s="2" t="s">
        <v>286</v>
      </c>
      <c r="L386" s="2" t="s">
        <v>44</v>
      </c>
      <c r="M386" s="2" t="s">
        <v>111</v>
      </c>
      <c r="N386" s="2" t="s">
        <v>468</v>
      </c>
      <c r="O386" s="2" t="s">
        <v>1250</v>
      </c>
      <c r="P386" s="4">
        <v>46056.0</v>
      </c>
      <c r="Q386" s="4">
        <v>46056.0</v>
      </c>
      <c r="R386" s="3">
        <v>1766.0</v>
      </c>
      <c r="S386" s="2" t="s">
        <v>482</v>
      </c>
      <c r="T386" s="2" t="s">
        <v>81</v>
      </c>
      <c r="U386" s="2" t="s">
        <v>416</v>
      </c>
      <c r="V386" s="2" t="s">
        <v>83</v>
      </c>
      <c r="W386" s="2" t="s">
        <v>68</v>
      </c>
      <c r="X386" s="2" t="s">
        <v>69</v>
      </c>
      <c r="Y386" s="2" t="s">
        <v>53</v>
      </c>
      <c r="Z386" s="3">
        <v>9.0</v>
      </c>
      <c r="AA386" s="2" t="s">
        <v>84</v>
      </c>
      <c r="AB386" s="3">
        <v>28.0</v>
      </c>
      <c r="AC386" s="3">
        <v>28.0</v>
      </c>
      <c r="AD386" s="7">
        <v>0.6786</v>
      </c>
      <c r="AE386" s="3">
        <v>19.0</v>
      </c>
      <c r="AF386" s="3">
        <v>1.0</v>
      </c>
      <c r="AG386" s="3">
        <v>0.0</v>
      </c>
      <c r="AH386" s="3">
        <v>0.0</v>
      </c>
      <c r="AI386" s="3">
        <v>1.0</v>
      </c>
      <c r="AJ386" s="3">
        <v>0.0</v>
      </c>
      <c r="AK386" s="3">
        <v>1.0</v>
      </c>
    </row>
    <row r="387">
      <c r="A387" s="2" t="s">
        <v>37</v>
      </c>
      <c r="B387" s="3">
        <v>38819.0</v>
      </c>
      <c r="C387" s="3" t="s">
        <v>106</v>
      </c>
      <c r="D387" s="3" t="s">
        <v>38</v>
      </c>
      <c r="E387" s="2" t="s">
        <v>39</v>
      </c>
      <c r="F387" s="3">
        <v>69317.0</v>
      </c>
      <c r="G387" s="2" t="s">
        <v>1251</v>
      </c>
      <c r="H387" s="5">
        <v>45231.20060185185</v>
      </c>
      <c r="I387" s="2" t="s">
        <v>57</v>
      </c>
      <c r="J387" s="2" t="s">
        <v>42</v>
      </c>
      <c r="K387" s="2" t="s">
        <v>43</v>
      </c>
      <c r="L387" s="2" t="s">
        <v>44</v>
      </c>
      <c r="M387" s="2" t="s">
        <v>403</v>
      </c>
      <c r="N387" s="2" t="s">
        <v>716</v>
      </c>
      <c r="O387" s="2" t="s">
        <v>1252</v>
      </c>
      <c r="P387" s="4">
        <v>46056.0</v>
      </c>
      <c r="Q387" s="3" t="s">
        <v>194</v>
      </c>
      <c r="R387" s="3">
        <v>1331.0</v>
      </c>
      <c r="S387" s="2" t="s">
        <v>611</v>
      </c>
      <c r="T387" s="2" t="s">
        <v>110</v>
      </c>
      <c r="U387" s="2" t="s">
        <v>115</v>
      </c>
      <c r="V387" s="2" t="s">
        <v>116</v>
      </c>
      <c r="W387" s="2" t="s">
        <v>51</v>
      </c>
      <c r="X387" s="2" t="s">
        <v>117</v>
      </c>
      <c r="Y387" s="2" t="s">
        <v>53</v>
      </c>
      <c r="Z387" s="3">
        <v>7.0</v>
      </c>
      <c r="AA387" s="2" t="s">
        <v>54</v>
      </c>
      <c r="AB387" s="3">
        <v>18.0</v>
      </c>
      <c r="AC387" s="3">
        <v>18.0</v>
      </c>
      <c r="AD387" s="7">
        <v>0.9722</v>
      </c>
      <c r="AE387" s="3">
        <v>70.0</v>
      </c>
      <c r="AF387" s="3">
        <v>4.0</v>
      </c>
      <c r="AG387" s="3">
        <v>0.0</v>
      </c>
      <c r="AH387" s="3">
        <v>4.0</v>
      </c>
      <c r="AI387" s="3">
        <v>0.0</v>
      </c>
      <c r="AJ387" s="3">
        <v>0.0</v>
      </c>
      <c r="AK387" s="3">
        <v>4.0</v>
      </c>
    </row>
    <row r="388">
      <c r="A388" s="2" t="s">
        <v>37</v>
      </c>
      <c r="B388" s="3">
        <v>38843.0</v>
      </c>
      <c r="C388" s="3" t="s">
        <v>106</v>
      </c>
      <c r="D388" s="3" t="s">
        <v>38</v>
      </c>
      <c r="E388" s="2" t="s">
        <v>39</v>
      </c>
      <c r="F388" s="3">
        <v>84403.0</v>
      </c>
      <c r="G388" s="2" t="s">
        <v>1253</v>
      </c>
      <c r="H388" s="5">
        <v>45867.55967592593</v>
      </c>
      <c r="J388" s="2" t="s">
        <v>191</v>
      </c>
      <c r="K388" s="2" t="s">
        <v>110</v>
      </c>
      <c r="L388" s="2" t="s">
        <v>44</v>
      </c>
      <c r="M388" s="2" t="s">
        <v>111</v>
      </c>
      <c r="N388" s="2" t="s">
        <v>157</v>
      </c>
      <c r="O388" s="2" t="s">
        <v>1254</v>
      </c>
      <c r="P388" s="4">
        <v>46084.0</v>
      </c>
      <c r="Q388" s="3" t="s">
        <v>194</v>
      </c>
      <c r="R388" s="3">
        <v>1338.0</v>
      </c>
      <c r="S388" s="2" t="s">
        <v>542</v>
      </c>
      <c r="T388" s="2" t="s">
        <v>110</v>
      </c>
      <c r="U388" s="2" t="s">
        <v>115</v>
      </c>
      <c r="V388" s="2" t="s">
        <v>116</v>
      </c>
      <c r="W388" s="2" t="s">
        <v>51</v>
      </c>
      <c r="X388" s="2" t="s">
        <v>117</v>
      </c>
      <c r="Y388" s="2" t="s">
        <v>53</v>
      </c>
      <c r="Z388" s="3">
        <v>8.0</v>
      </c>
      <c r="AA388" s="2" t="s">
        <v>54</v>
      </c>
      <c r="AB388" s="3">
        <v>32.0</v>
      </c>
      <c r="AC388" s="3">
        <v>32.0</v>
      </c>
      <c r="AD388" s="7">
        <v>1.0</v>
      </c>
      <c r="AE388" s="3">
        <v>128.0</v>
      </c>
      <c r="AF388" s="3">
        <v>4.0</v>
      </c>
      <c r="AG388" s="3">
        <v>0.0</v>
      </c>
      <c r="AH388" s="3">
        <v>4.0</v>
      </c>
      <c r="AI388" s="3">
        <v>0.0</v>
      </c>
      <c r="AJ388" s="3">
        <v>0.0</v>
      </c>
      <c r="AK388" s="3">
        <v>4.0</v>
      </c>
    </row>
    <row r="389">
      <c r="A389" s="2" t="s">
        <v>37</v>
      </c>
      <c r="B389" s="3">
        <v>38815.0</v>
      </c>
      <c r="C389" s="3" t="s">
        <v>106</v>
      </c>
      <c r="D389" s="3" t="s">
        <v>38</v>
      </c>
      <c r="E389" s="2" t="s">
        <v>39</v>
      </c>
      <c r="F389" s="3">
        <v>68438.0</v>
      </c>
      <c r="G389" s="2" t="s">
        <v>1255</v>
      </c>
      <c r="H389" s="5">
        <v>45183.241944444446</v>
      </c>
      <c r="I389" s="2" t="s">
        <v>246</v>
      </c>
      <c r="J389" s="2" t="s">
        <v>42</v>
      </c>
      <c r="K389" s="2" t="s">
        <v>43</v>
      </c>
      <c r="L389" s="2" t="s">
        <v>44</v>
      </c>
      <c r="M389" s="2" t="s">
        <v>111</v>
      </c>
      <c r="N389" s="2" t="s">
        <v>1256</v>
      </c>
      <c r="O389" s="2" t="s">
        <v>1257</v>
      </c>
      <c r="P389" s="4">
        <v>46056.0</v>
      </c>
      <c r="Q389" s="4">
        <v>46329.0</v>
      </c>
      <c r="R389" s="3">
        <v>1330.0</v>
      </c>
      <c r="S389" s="2" t="s">
        <v>718</v>
      </c>
      <c r="T389" s="2" t="s">
        <v>110</v>
      </c>
      <c r="U389" s="2" t="s">
        <v>115</v>
      </c>
      <c r="V389" s="2" t="s">
        <v>116</v>
      </c>
      <c r="W389" s="2" t="s">
        <v>51</v>
      </c>
      <c r="X389" s="2" t="s">
        <v>117</v>
      </c>
      <c r="Y389" s="2" t="s">
        <v>53</v>
      </c>
      <c r="Z389" s="3">
        <v>6.0</v>
      </c>
      <c r="AA389" s="2" t="s">
        <v>54</v>
      </c>
      <c r="AB389" s="3">
        <v>39.0</v>
      </c>
      <c r="AC389" s="3">
        <v>39.0</v>
      </c>
      <c r="AD389" s="7">
        <v>0.9103</v>
      </c>
      <c r="AE389" s="3">
        <v>142.0</v>
      </c>
      <c r="AF389" s="3">
        <v>4.0</v>
      </c>
      <c r="AG389" s="3">
        <v>0.0</v>
      </c>
      <c r="AH389" s="3">
        <v>4.0</v>
      </c>
      <c r="AI389" s="3">
        <v>0.0</v>
      </c>
      <c r="AJ389" s="3">
        <v>0.0</v>
      </c>
      <c r="AK389" s="3">
        <v>4.0</v>
      </c>
    </row>
    <row r="390">
      <c r="A390" s="2" t="s">
        <v>37</v>
      </c>
      <c r="B390" s="3">
        <v>37065.0</v>
      </c>
      <c r="C390" s="3" t="s">
        <v>807</v>
      </c>
      <c r="D390" s="3" t="s">
        <v>38</v>
      </c>
      <c r="E390" s="2" t="s">
        <v>39</v>
      </c>
      <c r="F390" s="3">
        <v>58385.0</v>
      </c>
      <c r="G390" s="2" t="s">
        <v>1258</v>
      </c>
      <c r="H390" s="5">
        <v>44747.94641203704</v>
      </c>
      <c r="I390" s="2" t="s">
        <v>1259</v>
      </c>
      <c r="J390" s="2" t="s">
        <v>127</v>
      </c>
      <c r="K390" s="2" t="s">
        <v>128</v>
      </c>
      <c r="L390" s="2" t="s">
        <v>44</v>
      </c>
      <c r="M390" s="2" t="s">
        <v>111</v>
      </c>
      <c r="N390" s="2" t="s">
        <v>1260</v>
      </c>
      <c r="O390" s="2" t="s">
        <v>1261</v>
      </c>
      <c r="P390" s="4">
        <v>46115.0</v>
      </c>
      <c r="Q390" s="4">
        <v>46359.0</v>
      </c>
      <c r="R390" s="3">
        <v>1698.0</v>
      </c>
      <c r="S390" s="2" t="s">
        <v>336</v>
      </c>
      <c r="T390" s="2" t="s">
        <v>48</v>
      </c>
      <c r="U390" s="2" t="s">
        <v>49</v>
      </c>
      <c r="V390" s="2" t="s">
        <v>50</v>
      </c>
      <c r="W390" s="2" t="s">
        <v>51</v>
      </c>
      <c r="X390" s="2" t="s">
        <v>52</v>
      </c>
      <c r="Y390" s="2" t="s">
        <v>53</v>
      </c>
      <c r="Z390" s="3">
        <v>6.0</v>
      </c>
      <c r="AA390" s="2" t="s">
        <v>318</v>
      </c>
      <c r="AB390" s="3">
        <v>23.0</v>
      </c>
      <c r="AC390" s="3">
        <v>23.0</v>
      </c>
      <c r="AD390" s="7">
        <v>0.7826</v>
      </c>
      <c r="AE390" s="3">
        <v>72.0</v>
      </c>
      <c r="AF390" s="3">
        <v>4.0</v>
      </c>
      <c r="AG390" s="3">
        <v>0.0</v>
      </c>
      <c r="AH390" s="3">
        <v>4.0</v>
      </c>
      <c r="AI390" s="3">
        <v>0.0</v>
      </c>
      <c r="AJ390" s="3">
        <v>0.0</v>
      </c>
      <c r="AK390" s="3">
        <v>4.0</v>
      </c>
    </row>
    <row r="391">
      <c r="A391" s="2" t="s">
        <v>37</v>
      </c>
      <c r="B391" s="3">
        <v>39749.0</v>
      </c>
      <c r="C391" s="4">
        <v>45819.0</v>
      </c>
      <c r="D391" s="3" t="s">
        <v>38</v>
      </c>
      <c r="E391" s="2" t="s">
        <v>39</v>
      </c>
      <c r="F391" s="3">
        <v>84867.0</v>
      </c>
      <c r="G391" s="2" t="s">
        <v>1262</v>
      </c>
      <c r="H391" s="5">
        <v>45887.65408564815</v>
      </c>
      <c r="I391" s="2" t="s">
        <v>213</v>
      </c>
      <c r="J391" s="2" t="s">
        <v>42</v>
      </c>
      <c r="K391" s="2" t="s">
        <v>43</v>
      </c>
      <c r="L391" s="2" t="s">
        <v>44</v>
      </c>
      <c r="M391" s="2" t="s">
        <v>111</v>
      </c>
      <c r="N391" s="2" t="s">
        <v>1263</v>
      </c>
      <c r="O391" s="2" t="s">
        <v>1264</v>
      </c>
      <c r="P391" s="4">
        <v>46084.0</v>
      </c>
      <c r="Q391" s="4">
        <v>46329.0</v>
      </c>
      <c r="R391" s="3">
        <v>1336.0</v>
      </c>
      <c r="S391" s="2" t="s">
        <v>782</v>
      </c>
      <c r="T391" s="2" t="s">
        <v>110</v>
      </c>
      <c r="U391" s="2" t="s">
        <v>115</v>
      </c>
      <c r="V391" s="2" t="s">
        <v>116</v>
      </c>
      <c r="W391" s="2" t="s">
        <v>51</v>
      </c>
      <c r="X391" s="2" t="s">
        <v>117</v>
      </c>
      <c r="Y391" s="2" t="s">
        <v>188</v>
      </c>
      <c r="Z391" s="3">
        <v>7.0</v>
      </c>
      <c r="AA391" s="2" t="s">
        <v>164</v>
      </c>
      <c r="AB391" s="3">
        <v>39.0</v>
      </c>
      <c r="AC391" s="3">
        <v>38.0</v>
      </c>
      <c r="AD391" s="7">
        <v>0.9737</v>
      </c>
      <c r="AE391" s="3">
        <v>148.0</v>
      </c>
      <c r="AF391" s="3">
        <v>4.0</v>
      </c>
      <c r="AG391" s="3">
        <v>0.0</v>
      </c>
      <c r="AH391" s="3">
        <v>4.0</v>
      </c>
      <c r="AI391" s="3">
        <v>0.0</v>
      </c>
      <c r="AJ391" s="3">
        <v>0.0</v>
      </c>
      <c r="AK391" s="3">
        <v>4.0</v>
      </c>
    </row>
    <row r="392">
      <c r="A392" s="2" t="s">
        <v>37</v>
      </c>
      <c r="B392" s="3">
        <v>39835.0</v>
      </c>
      <c r="C392" s="4">
        <v>45728.0</v>
      </c>
      <c r="D392" s="3" t="s">
        <v>38</v>
      </c>
      <c r="E392" s="2" t="s">
        <v>72</v>
      </c>
      <c r="F392" s="3">
        <v>87928.0</v>
      </c>
      <c r="G392" s="2" t="s">
        <v>1265</v>
      </c>
      <c r="H392" s="5">
        <v>46028.42568287037</v>
      </c>
      <c r="I392" s="2" t="s">
        <v>57</v>
      </c>
      <c r="J392" s="2" t="s">
        <v>42</v>
      </c>
      <c r="K392" s="2" t="s">
        <v>43</v>
      </c>
      <c r="L392" s="2" t="s">
        <v>44</v>
      </c>
      <c r="M392" s="2" t="s">
        <v>111</v>
      </c>
      <c r="N392" s="2" t="s">
        <v>374</v>
      </c>
      <c r="O392" s="2" t="s">
        <v>1266</v>
      </c>
      <c r="P392" s="4">
        <v>46084.0</v>
      </c>
      <c r="Q392" s="4">
        <v>46176.0</v>
      </c>
      <c r="R392" s="3">
        <v>2045.0</v>
      </c>
      <c r="S392" s="2" t="s">
        <v>259</v>
      </c>
      <c r="T392" s="2" t="s">
        <v>43</v>
      </c>
      <c r="U392" s="2" t="s">
        <v>178</v>
      </c>
      <c r="V392" s="2" t="s">
        <v>179</v>
      </c>
      <c r="W392" s="2" t="s">
        <v>68</v>
      </c>
      <c r="X392" s="2" t="s">
        <v>172</v>
      </c>
      <c r="Y392" s="2" t="s">
        <v>53</v>
      </c>
      <c r="Z392" s="3">
        <v>6.0</v>
      </c>
      <c r="AA392" s="2" t="s">
        <v>180</v>
      </c>
      <c r="AB392" s="3">
        <v>26.0</v>
      </c>
      <c r="AC392" s="3">
        <v>26.0</v>
      </c>
      <c r="AD392" s="7">
        <v>0.75</v>
      </c>
      <c r="AE392" s="3">
        <v>39.0</v>
      </c>
      <c r="AF392" s="3">
        <v>2.0</v>
      </c>
      <c r="AG392" s="3">
        <v>0.0</v>
      </c>
      <c r="AH392" s="3">
        <v>2.0</v>
      </c>
      <c r="AI392" s="3">
        <v>0.0</v>
      </c>
      <c r="AJ392" s="3">
        <v>0.0</v>
      </c>
      <c r="AK392" s="3">
        <v>2.0</v>
      </c>
    </row>
    <row r="393">
      <c r="A393" s="2" t="s">
        <v>37</v>
      </c>
      <c r="B393" s="3">
        <v>39998.0</v>
      </c>
      <c r="C393" s="3" t="s">
        <v>755</v>
      </c>
      <c r="D393" s="3" t="s">
        <v>38</v>
      </c>
      <c r="E393" s="2" t="s">
        <v>72</v>
      </c>
      <c r="F393" s="3">
        <v>87785.0</v>
      </c>
      <c r="G393" s="2" t="s">
        <v>1267</v>
      </c>
      <c r="H393" s="5">
        <v>46021.52003472222</v>
      </c>
      <c r="I393" s="2" t="s">
        <v>499</v>
      </c>
      <c r="J393" s="2" t="s">
        <v>42</v>
      </c>
      <c r="K393" s="2" t="s">
        <v>43</v>
      </c>
      <c r="L393" s="2" t="s">
        <v>44</v>
      </c>
      <c r="M393" s="2" t="s">
        <v>99</v>
      </c>
      <c r="N393" s="2" t="s">
        <v>242</v>
      </c>
      <c r="O393" s="2" t="s">
        <v>1268</v>
      </c>
      <c r="P393" s="4">
        <v>46206.0</v>
      </c>
      <c r="Q393" s="4">
        <v>46206.0</v>
      </c>
      <c r="R393" s="3">
        <v>2046.0</v>
      </c>
      <c r="S393" s="2" t="s">
        <v>177</v>
      </c>
      <c r="T393" s="2" t="s">
        <v>43</v>
      </c>
      <c r="U393" s="2" t="s">
        <v>178</v>
      </c>
      <c r="V393" s="2" t="s">
        <v>179</v>
      </c>
      <c r="W393" s="2" t="s">
        <v>68</v>
      </c>
      <c r="X393" s="2" t="s">
        <v>172</v>
      </c>
      <c r="Y393" s="2" t="s">
        <v>53</v>
      </c>
      <c r="Z393" s="3">
        <v>5.0</v>
      </c>
      <c r="AA393" s="2" t="s">
        <v>180</v>
      </c>
      <c r="AB393" s="3">
        <v>13.0</v>
      </c>
      <c r="AC393" s="3">
        <v>13.0</v>
      </c>
      <c r="AD393" s="7">
        <v>1.0</v>
      </c>
      <c r="AE393" s="3">
        <v>13.0</v>
      </c>
      <c r="AF393" s="3">
        <v>1.0</v>
      </c>
      <c r="AG393" s="3">
        <v>0.0</v>
      </c>
      <c r="AH393" s="3">
        <v>1.0</v>
      </c>
      <c r="AI393" s="3">
        <v>0.0</v>
      </c>
      <c r="AJ393" s="3">
        <v>0.0</v>
      </c>
      <c r="AK393" s="3">
        <v>1.0</v>
      </c>
    </row>
    <row r="394">
      <c r="A394" s="2" t="s">
        <v>37</v>
      </c>
      <c r="B394" s="3">
        <v>39999.0</v>
      </c>
      <c r="C394" s="3" t="s">
        <v>755</v>
      </c>
      <c r="D394" s="3" t="s">
        <v>38</v>
      </c>
      <c r="E394" s="2" t="s">
        <v>72</v>
      </c>
      <c r="F394" s="3">
        <v>87785.0</v>
      </c>
      <c r="G394" s="2" t="s">
        <v>1267</v>
      </c>
      <c r="H394" s="5">
        <v>46021.52003472222</v>
      </c>
      <c r="I394" s="2" t="s">
        <v>499</v>
      </c>
      <c r="J394" s="2" t="s">
        <v>42</v>
      </c>
      <c r="K394" s="2" t="s">
        <v>43</v>
      </c>
      <c r="L394" s="2" t="s">
        <v>44</v>
      </c>
      <c r="M394" s="2" t="s">
        <v>99</v>
      </c>
      <c r="N394" s="2" t="s">
        <v>242</v>
      </c>
      <c r="O394" s="2" t="s">
        <v>1268</v>
      </c>
      <c r="P394" s="4">
        <v>46206.0</v>
      </c>
      <c r="Q394" s="4">
        <v>46206.0</v>
      </c>
      <c r="R394" s="3">
        <v>2046.0</v>
      </c>
      <c r="S394" s="2" t="s">
        <v>177</v>
      </c>
      <c r="T394" s="2" t="s">
        <v>43</v>
      </c>
      <c r="U394" s="2" t="s">
        <v>178</v>
      </c>
      <c r="V394" s="2" t="s">
        <v>179</v>
      </c>
      <c r="W394" s="2" t="s">
        <v>68</v>
      </c>
      <c r="X394" s="2" t="s">
        <v>172</v>
      </c>
      <c r="Y394" s="2" t="s">
        <v>53</v>
      </c>
      <c r="Z394" s="3">
        <v>6.0</v>
      </c>
      <c r="AA394" s="2" t="s">
        <v>180</v>
      </c>
      <c r="AB394" s="3">
        <v>6.0</v>
      </c>
      <c r="AC394" s="3">
        <v>6.0</v>
      </c>
      <c r="AD394" s="7">
        <v>1.0</v>
      </c>
      <c r="AE394" s="3">
        <v>6.0</v>
      </c>
      <c r="AF394" s="3">
        <v>1.0</v>
      </c>
      <c r="AG394" s="3">
        <v>0.0</v>
      </c>
      <c r="AH394" s="3">
        <v>1.0</v>
      </c>
      <c r="AI394" s="3">
        <v>0.0</v>
      </c>
      <c r="AJ394" s="3">
        <v>0.0</v>
      </c>
      <c r="AK394" s="3">
        <v>1.0</v>
      </c>
    </row>
    <row r="395">
      <c r="A395" s="2" t="s">
        <v>37</v>
      </c>
      <c r="B395" s="3">
        <v>40000.0</v>
      </c>
      <c r="C395" s="3" t="s">
        <v>755</v>
      </c>
      <c r="D395" s="3" t="s">
        <v>38</v>
      </c>
      <c r="E395" s="2" t="s">
        <v>72</v>
      </c>
      <c r="F395" s="3">
        <v>87785.0</v>
      </c>
      <c r="G395" s="2" t="s">
        <v>1267</v>
      </c>
      <c r="H395" s="5">
        <v>46021.52003472222</v>
      </c>
      <c r="I395" s="2" t="s">
        <v>499</v>
      </c>
      <c r="J395" s="2" t="s">
        <v>42</v>
      </c>
      <c r="K395" s="2" t="s">
        <v>43</v>
      </c>
      <c r="L395" s="2" t="s">
        <v>44</v>
      </c>
      <c r="M395" s="2" t="s">
        <v>99</v>
      </c>
      <c r="N395" s="2" t="s">
        <v>242</v>
      </c>
      <c r="O395" s="2" t="s">
        <v>1268</v>
      </c>
      <c r="P395" s="4">
        <v>46206.0</v>
      </c>
      <c r="Q395" s="4">
        <v>46206.0</v>
      </c>
      <c r="R395" s="3">
        <v>2046.0</v>
      </c>
      <c r="S395" s="2" t="s">
        <v>177</v>
      </c>
      <c r="T395" s="2" t="s">
        <v>43</v>
      </c>
      <c r="U395" s="2" t="s">
        <v>178</v>
      </c>
      <c r="V395" s="2" t="s">
        <v>179</v>
      </c>
      <c r="W395" s="2" t="s">
        <v>68</v>
      </c>
      <c r="X395" s="2" t="s">
        <v>172</v>
      </c>
      <c r="Y395" s="2" t="s">
        <v>53</v>
      </c>
      <c r="Z395" s="3">
        <v>7.0</v>
      </c>
      <c r="AA395" s="2" t="s">
        <v>180</v>
      </c>
      <c r="AB395" s="3">
        <v>10.0</v>
      </c>
      <c r="AC395" s="3">
        <v>10.0</v>
      </c>
      <c r="AD395" s="7">
        <v>1.0</v>
      </c>
      <c r="AE395" s="3">
        <v>10.0</v>
      </c>
      <c r="AF395" s="3">
        <v>1.0</v>
      </c>
      <c r="AG395" s="3">
        <v>0.0</v>
      </c>
      <c r="AH395" s="3">
        <v>1.0</v>
      </c>
      <c r="AI395" s="3">
        <v>0.0</v>
      </c>
      <c r="AJ395" s="3">
        <v>0.0</v>
      </c>
      <c r="AK395" s="3">
        <v>1.0</v>
      </c>
    </row>
    <row r="396">
      <c r="A396" s="2" t="s">
        <v>37</v>
      </c>
      <c r="B396" s="3">
        <v>40001.0</v>
      </c>
      <c r="C396" s="3" t="s">
        <v>755</v>
      </c>
      <c r="D396" s="3" t="s">
        <v>38</v>
      </c>
      <c r="E396" s="2" t="s">
        <v>72</v>
      </c>
      <c r="F396" s="3">
        <v>87785.0</v>
      </c>
      <c r="G396" s="2" t="s">
        <v>1267</v>
      </c>
      <c r="H396" s="5">
        <v>46021.52003472222</v>
      </c>
      <c r="I396" s="2" t="s">
        <v>499</v>
      </c>
      <c r="J396" s="2" t="s">
        <v>42</v>
      </c>
      <c r="K396" s="2" t="s">
        <v>43</v>
      </c>
      <c r="L396" s="2" t="s">
        <v>44</v>
      </c>
      <c r="M396" s="2" t="s">
        <v>99</v>
      </c>
      <c r="N396" s="2" t="s">
        <v>242</v>
      </c>
      <c r="O396" s="2" t="s">
        <v>1268</v>
      </c>
      <c r="P396" s="4">
        <v>46056.0</v>
      </c>
      <c r="Q396" s="4">
        <v>46056.0</v>
      </c>
      <c r="R396" s="3">
        <v>2047.0</v>
      </c>
      <c r="S396" s="2" t="s">
        <v>358</v>
      </c>
      <c r="T396" s="2" t="s">
        <v>43</v>
      </c>
      <c r="U396" s="2" t="s">
        <v>178</v>
      </c>
      <c r="V396" s="2" t="s">
        <v>179</v>
      </c>
      <c r="W396" s="2" t="s">
        <v>68</v>
      </c>
      <c r="X396" s="2" t="s">
        <v>172</v>
      </c>
      <c r="Y396" s="2" t="s">
        <v>53</v>
      </c>
      <c r="Z396" s="3">
        <v>8.0</v>
      </c>
      <c r="AA396" s="2" t="s">
        <v>180</v>
      </c>
      <c r="AB396" s="3">
        <v>21.0</v>
      </c>
      <c r="AC396" s="3">
        <v>21.0</v>
      </c>
      <c r="AD396" s="7">
        <v>1.0</v>
      </c>
      <c r="AE396" s="3">
        <v>21.0</v>
      </c>
      <c r="AF396" s="3">
        <v>1.0</v>
      </c>
      <c r="AG396" s="3">
        <v>0.0</v>
      </c>
      <c r="AH396" s="3">
        <v>1.0</v>
      </c>
      <c r="AI396" s="3">
        <v>0.0</v>
      </c>
      <c r="AJ396" s="3">
        <v>0.0</v>
      </c>
      <c r="AK396" s="3">
        <v>1.0</v>
      </c>
    </row>
    <row r="397">
      <c r="A397" s="2" t="s">
        <v>37</v>
      </c>
      <c r="B397" s="3">
        <v>40002.0</v>
      </c>
      <c r="C397" s="3" t="s">
        <v>755</v>
      </c>
      <c r="D397" s="3" t="s">
        <v>38</v>
      </c>
      <c r="E397" s="2" t="s">
        <v>72</v>
      </c>
      <c r="F397" s="3">
        <v>87785.0</v>
      </c>
      <c r="G397" s="2" t="s">
        <v>1267</v>
      </c>
      <c r="H397" s="5">
        <v>46021.52003472222</v>
      </c>
      <c r="I397" s="2" t="s">
        <v>499</v>
      </c>
      <c r="J397" s="2" t="s">
        <v>42</v>
      </c>
      <c r="K397" s="2" t="s">
        <v>43</v>
      </c>
      <c r="L397" s="2" t="s">
        <v>44</v>
      </c>
      <c r="M397" s="2" t="s">
        <v>99</v>
      </c>
      <c r="N397" s="2" t="s">
        <v>242</v>
      </c>
      <c r="O397" s="2" t="s">
        <v>1268</v>
      </c>
      <c r="P397" s="4">
        <v>46084.0</v>
      </c>
      <c r="Q397" s="4">
        <v>46084.0</v>
      </c>
      <c r="R397" s="3">
        <v>2047.0</v>
      </c>
      <c r="S397" s="2" t="s">
        <v>358</v>
      </c>
      <c r="T397" s="2" t="s">
        <v>43</v>
      </c>
      <c r="U397" s="2" t="s">
        <v>178</v>
      </c>
      <c r="V397" s="2" t="s">
        <v>179</v>
      </c>
      <c r="W397" s="2" t="s">
        <v>68</v>
      </c>
      <c r="X397" s="2" t="s">
        <v>172</v>
      </c>
      <c r="Y397" s="2" t="s">
        <v>53</v>
      </c>
      <c r="Z397" s="3">
        <v>9.0</v>
      </c>
      <c r="AA397" s="2" t="s">
        <v>359</v>
      </c>
      <c r="AB397" s="3">
        <v>23.0</v>
      </c>
      <c r="AC397" s="3">
        <v>23.0</v>
      </c>
      <c r="AD397" s="7">
        <v>1.0</v>
      </c>
      <c r="AE397" s="3">
        <v>23.0</v>
      </c>
      <c r="AF397" s="3">
        <v>1.0</v>
      </c>
      <c r="AG397" s="3">
        <v>0.0</v>
      </c>
      <c r="AH397" s="3">
        <v>1.0</v>
      </c>
      <c r="AI397" s="3">
        <v>0.0</v>
      </c>
      <c r="AJ397" s="3">
        <v>0.0</v>
      </c>
      <c r="AK397" s="3">
        <v>1.0</v>
      </c>
    </row>
    <row r="398">
      <c r="A398" s="2" t="s">
        <v>37</v>
      </c>
      <c r="B398" s="3">
        <v>38962.0</v>
      </c>
      <c r="C398" s="3" t="s">
        <v>211</v>
      </c>
      <c r="D398" s="5">
        <v>46112.99998842592</v>
      </c>
      <c r="E398" s="2" t="s">
        <v>39</v>
      </c>
      <c r="F398" s="3">
        <v>87250.0</v>
      </c>
      <c r="G398" s="2" t="s">
        <v>1269</v>
      </c>
      <c r="H398" s="5">
        <v>45996.4912962963</v>
      </c>
      <c r="J398" s="2" t="s">
        <v>204</v>
      </c>
      <c r="K398" s="2" t="s">
        <v>88</v>
      </c>
      <c r="L398" s="2" t="s">
        <v>44</v>
      </c>
      <c r="M398" s="2" t="s">
        <v>111</v>
      </c>
      <c r="N398" s="2" t="s">
        <v>90</v>
      </c>
      <c r="O398" s="2" t="s">
        <v>1270</v>
      </c>
      <c r="P398" s="4">
        <v>46329.0</v>
      </c>
      <c r="Q398" s="3" t="s">
        <v>147</v>
      </c>
      <c r="R398" s="3">
        <v>1996.0</v>
      </c>
      <c r="S398" s="2" t="s">
        <v>329</v>
      </c>
      <c r="T398" s="2" t="s">
        <v>88</v>
      </c>
      <c r="U398" s="2" t="s">
        <v>149</v>
      </c>
      <c r="V398" s="2" t="s">
        <v>150</v>
      </c>
      <c r="W398" s="2" t="s">
        <v>51</v>
      </c>
      <c r="X398" s="2" t="s">
        <v>96</v>
      </c>
      <c r="Y398" s="2" t="s">
        <v>53</v>
      </c>
      <c r="Z398" s="3">
        <v>6.0</v>
      </c>
      <c r="AA398" s="2" t="s">
        <v>54</v>
      </c>
      <c r="AB398" s="3">
        <v>20.0</v>
      </c>
      <c r="AC398" s="3">
        <v>20.0</v>
      </c>
      <c r="AD398" s="7">
        <v>0.7333</v>
      </c>
      <c r="AE398" s="3">
        <v>44.0</v>
      </c>
      <c r="AF398" s="3">
        <v>4.0</v>
      </c>
      <c r="AG398" s="3">
        <v>0.0</v>
      </c>
      <c r="AH398" s="3">
        <v>3.0</v>
      </c>
      <c r="AI398" s="3">
        <v>0.0</v>
      </c>
      <c r="AJ398" s="3">
        <v>1.0</v>
      </c>
      <c r="AK398" s="3">
        <v>3.0</v>
      </c>
    </row>
    <row r="399">
      <c r="A399" s="2" t="s">
        <v>37</v>
      </c>
      <c r="B399" s="3">
        <v>40188.0</v>
      </c>
      <c r="C399" s="3" t="s">
        <v>55</v>
      </c>
      <c r="D399" s="3" t="s">
        <v>38</v>
      </c>
      <c r="E399" s="2" t="s">
        <v>39</v>
      </c>
      <c r="F399" s="3">
        <v>82567.0</v>
      </c>
      <c r="G399" s="2" t="s">
        <v>1271</v>
      </c>
      <c r="H399" s="5">
        <v>45838.5462962963</v>
      </c>
      <c r="I399" s="2" t="s">
        <v>423</v>
      </c>
      <c r="J399" s="2" t="s">
        <v>156</v>
      </c>
      <c r="K399" s="2" t="s">
        <v>59</v>
      </c>
      <c r="L399" s="2" t="s">
        <v>44</v>
      </c>
      <c r="M399" s="2" t="s">
        <v>111</v>
      </c>
      <c r="N399" s="2" t="s">
        <v>935</v>
      </c>
      <c r="O399" s="2" t="s">
        <v>1272</v>
      </c>
      <c r="P399" s="4">
        <v>46298.0</v>
      </c>
      <c r="Q399" s="3" t="s">
        <v>236</v>
      </c>
      <c r="R399" s="3">
        <v>1784.0</v>
      </c>
      <c r="S399" s="2" t="s">
        <v>103</v>
      </c>
      <c r="T399" s="2" t="s">
        <v>65</v>
      </c>
      <c r="U399" s="2" t="s">
        <v>104</v>
      </c>
      <c r="V399" s="2" t="s">
        <v>67</v>
      </c>
      <c r="W399" s="2" t="s">
        <v>68</v>
      </c>
      <c r="X399" s="2" t="s">
        <v>69</v>
      </c>
      <c r="Y399" s="2" t="s">
        <v>53</v>
      </c>
      <c r="Z399" s="3">
        <v>8.0</v>
      </c>
      <c r="AA399" s="2" t="s">
        <v>105</v>
      </c>
      <c r="AB399" s="3">
        <v>110.0</v>
      </c>
      <c r="AC399" s="3">
        <v>110.0</v>
      </c>
      <c r="AD399" s="7">
        <v>1.0</v>
      </c>
      <c r="AE399" s="3">
        <v>440.0</v>
      </c>
      <c r="AF399" s="3">
        <v>4.0</v>
      </c>
      <c r="AG399" s="3">
        <v>0.0</v>
      </c>
      <c r="AH399" s="3">
        <v>4.0</v>
      </c>
      <c r="AI399" s="3">
        <v>0.0</v>
      </c>
      <c r="AJ399" s="3">
        <v>0.0</v>
      </c>
      <c r="AK399" s="3">
        <v>4.0</v>
      </c>
    </row>
    <row r="400">
      <c r="A400" s="2" t="s">
        <v>37</v>
      </c>
      <c r="B400" s="3">
        <v>37057.0</v>
      </c>
      <c r="C400" s="3" t="s">
        <v>196</v>
      </c>
      <c r="D400" s="3" t="s">
        <v>38</v>
      </c>
      <c r="E400" s="2" t="s">
        <v>39</v>
      </c>
      <c r="F400" s="3">
        <v>78203.0</v>
      </c>
      <c r="G400" s="2" t="s">
        <v>1273</v>
      </c>
      <c r="H400" s="5">
        <v>45617.56285879629</v>
      </c>
      <c r="I400" s="2" t="s">
        <v>752</v>
      </c>
      <c r="J400" s="2" t="s">
        <v>1274</v>
      </c>
      <c r="K400" s="2" t="s">
        <v>48</v>
      </c>
      <c r="L400" s="2" t="s">
        <v>44</v>
      </c>
      <c r="M400" s="2" t="s">
        <v>183</v>
      </c>
      <c r="N400" s="2" t="s">
        <v>1275</v>
      </c>
      <c r="O400" s="2" t="s">
        <v>1276</v>
      </c>
      <c r="P400" s="4">
        <v>46115.0</v>
      </c>
      <c r="Q400" s="3" t="s">
        <v>194</v>
      </c>
      <c r="R400" s="3">
        <v>1695.0</v>
      </c>
      <c r="S400" s="2" t="s">
        <v>294</v>
      </c>
      <c r="T400" s="2" t="s">
        <v>48</v>
      </c>
      <c r="U400" s="2" t="s">
        <v>49</v>
      </c>
      <c r="V400" s="2" t="s">
        <v>50</v>
      </c>
      <c r="W400" s="2" t="s">
        <v>51</v>
      </c>
      <c r="X400" s="2" t="s">
        <v>52</v>
      </c>
      <c r="Y400" s="2" t="s">
        <v>53</v>
      </c>
      <c r="Z400" s="3">
        <v>7.0</v>
      </c>
      <c r="AA400" s="2" t="s">
        <v>318</v>
      </c>
      <c r="AB400" s="3">
        <v>31.0</v>
      </c>
      <c r="AC400" s="3">
        <v>31.0</v>
      </c>
      <c r="AD400" s="7">
        <v>0.8065</v>
      </c>
      <c r="AE400" s="3">
        <v>100.0</v>
      </c>
      <c r="AF400" s="3">
        <v>4.0</v>
      </c>
      <c r="AG400" s="3">
        <v>0.0</v>
      </c>
      <c r="AH400" s="3">
        <v>4.0</v>
      </c>
      <c r="AI400" s="3">
        <v>0.0</v>
      </c>
      <c r="AJ400" s="3">
        <v>0.0</v>
      </c>
      <c r="AK400" s="3">
        <v>4.0</v>
      </c>
    </row>
    <row r="401">
      <c r="A401" s="2" t="s">
        <v>37</v>
      </c>
      <c r="B401" s="3">
        <v>38847.0</v>
      </c>
      <c r="C401" s="3" t="s">
        <v>106</v>
      </c>
      <c r="D401" s="3" t="s">
        <v>38</v>
      </c>
      <c r="E401" s="2" t="s">
        <v>39</v>
      </c>
      <c r="F401" s="3">
        <v>82780.0</v>
      </c>
      <c r="G401" s="2" t="s">
        <v>1277</v>
      </c>
      <c r="H401" s="5">
        <v>45842.73626157407</v>
      </c>
      <c r="I401" s="2" t="s">
        <v>57</v>
      </c>
      <c r="J401" s="2" t="s">
        <v>261</v>
      </c>
      <c r="K401" s="2" t="s">
        <v>110</v>
      </c>
      <c r="L401" s="2" t="s">
        <v>44</v>
      </c>
      <c r="M401" s="2" t="s">
        <v>60</v>
      </c>
      <c r="N401" s="2" t="s">
        <v>1278</v>
      </c>
      <c r="O401" s="2" t="s">
        <v>1279</v>
      </c>
      <c r="P401" s="4">
        <v>46084.0</v>
      </c>
      <c r="Q401" s="4">
        <v>46359.0</v>
      </c>
      <c r="R401" s="3">
        <v>1701.0</v>
      </c>
      <c r="S401" s="2" t="s">
        <v>490</v>
      </c>
      <c r="T401" s="2" t="s">
        <v>110</v>
      </c>
      <c r="U401" s="2" t="s">
        <v>187</v>
      </c>
      <c r="V401" s="2" t="s">
        <v>116</v>
      </c>
      <c r="W401" s="2" t="s">
        <v>51</v>
      </c>
      <c r="X401" s="2" t="s">
        <v>117</v>
      </c>
      <c r="Y401" s="2" t="s">
        <v>53</v>
      </c>
      <c r="Z401" s="3">
        <v>6.0</v>
      </c>
      <c r="AA401" s="2" t="s">
        <v>54</v>
      </c>
      <c r="AB401" s="3">
        <v>20.0</v>
      </c>
      <c r="AC401" s="3">
        <v>20.0</v>
      </c>
      <c r="AD401" s="7">
        <v>0.95</v>
      </c>
      <c r="AE401" s="3">
        <v>76.0</v>
      </c>
      <c r="AF401" s="3">
        <v>4.0</v>
      </c>
      <c r="AG401" s="3">
        <v>0.0</v>
      </c>
      <c r="AH401" s="3">
        <v>4.0</v>
      </c>
      <c r="AI401" s="3">
        <v>0.0</v>
      </c>
      <c r="AJ401" s="3">
        <v>0.0</v>
      </c>
      <c r="AK401" s="3">
        <v>4.0</v>
      </c>
    </row>
  </sheetData>
  <mergeCells count="24">
    <mergeCell ref="H11:I11"/>
    <mergeCell ref="M49:N49"/>
    <mergeCell ref="H60:I60"/>
    <mergeCell ref="M70:N70"/>
    <mergeCell ref="T71:U71"/>
    <mergeCell ref="T72:U72"/>
    <mergeCell ref="H116:I116"/>
    <mergeCell ref="M107:N107"/>
    <mergeCell ref="M157:N157"/>
    <mergeCell ref="M189:N189"/>
    <mergeCell ref="T211:U211"/>
    <mergeCell ref="T212:U212"/>
    <mergeCell ref="T213:U213"/>
    <mergeCell ref="T214:U214"/>
    <mergeCell ref="H360:I360"/>
    <mergeCell ref="H388:I388"/>
    <mergeCell ref="H398:I398"/>
    <mergeCell ref="T215:U215"/>
    <mergeCell ref="T216:U216"/>
    <mergeCell ref="T217:U217"/>
    <mergeCell ref="T218:U218"/>
    <mergeCell ref="T219:U219"/>
    <mergeCell ref="H246:I246"/>
    <mergeCell ref="H333:I3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8.75"/>
    <col customWidth="1" min="11" max="11" width="25.13"/>
  </cols>
  <sheetData>
    <row r="1">
      <c r="A1" s="1" t="s">
        <v>1280</v>
      </c>
      <c r="B1" s="1" t="s">
        <v>1281</v>
      </c>
      <c r="C1" s="1" t="s">
        <v>1282</v>
      </c>
      <c r="D1" s="1" t="s">
        <v>1283</v>
      </c>
      <c r="E1" s="1" t="s">
        <v>19</v>
      </c>
      <c r="F1" s="1" t="s">
        <v>8</v>
      </c>
      <c r="G1" s="1" t="s">
        <v>1284</v>
      </c>
      <c r="H1" s="1" t="s">
        <v>1285</v>
      </c>
      <c r="I1" s="1" t="s">
        <v>1286</v>
      </c>
      <c r="J1" s="1" t="s">
        <v>1287</v>
      </c>
      <c r="K1" s="1" t="s">
        <v>1288</v>
      </c>
      <c r="L1" s="1" t="s">
        <v>1289</v>
      </c>
      <c r="M1" s="1" t="s">
        <v>1290</v>
      </c>
      <c r="N1" s="1" t="s">
        <v>1291</v>
      </c>
      <c r="O1" s="1" t="s">
        <v>32</v>
      </c>
      <c r="P1" s="1" t="s">
        <v>33</v>
      </c>
      <c r="Q1" s="1" t="s">
        <v>34</v>
      </c>
      <c r="R1" s="1" t="s">
        <v>35</v>
      </c>
    </row>
    <row r="2">
      <c r="A2" s="3">
        <v>72117.0</v>
      </c>
      <c r="B2" s="2" t="s">
        <v>1292</v>
      </c>
      <c r="C2" s="2" t="s">
        <v>1293</v>
      </c>
      <c r="D2" s="3">
        <v>9.434418405E9</v>
      </c>
      <c r="E2" s="2" t="s">
        <v>220</v>
      </c>
      <c r="F2" s="2" t="s">
        <v>57</v>
      </c>
      <c r="G2" s="3" t="s">
        <v>1294</v>
      </c>
      <c r="H2" s="3" t="s">
        <v>1295</v>
      </c>
      <c r="I2" s="3">
        <v>40068.0</v>
      </c>
      <c r="J2" s="2" t="s">
        <v>1296</v>
      </c>
      <c r="K2" s="2" t="s">
        <v>1297</v>
      </c>
      <c r="L2" s="3">
        <v>1.0</v>
      </c>
      <c r="M2" s="3">
        <v>1.0</v>
      </c>
      <c r="N2" s="3">
        <v>72117.0</v>
      </c>
      <c r="O2" s="3">
        <v>0.0</v>
      </c>
      <c r="P2" s="3">
        <v>33.0</v>
      </c>
      <c r="Q2" s="3">
        <v>16.0</v>
      </c>
      <c r="R2" s="3">
        <v>3.0</v>
      </c>
    </row>
    <row r="3">
      <c r="A3" s="3">
        <v>79720.0</v>
      </c>
      <c r="B3" s="2" t="s">
        <v>1298</v>
      </c>
      <c r="C3" s="2" t="s">
        <v>1299</v>
      </c>
      <c r="D3" s="3">
        <v>6.291522024E9</v>
      </c>
      <c r="E3" s="2" t="s">
        <v>220</v>
      </c>
      <c r="F3" s="2" t="s">
        <v>57</v>
      </c>
      <c r="G3" s="3" t="s">
        <v>1300</v>
      </c>
      <c r="H3" s="3" t="s">
        <v>1301</v>
      </c>
      <c r="I3" s="3">
        <v>40072.0</v>
      </c>
      <c r="J3" s="2" t="s">
        <v>1302</v>
      </c>
      <c r="K3" s="2" t="s">
        <v>1303</v>
      </c>
      <c r="L3" s="3">
        <v>1.0</v>
      </c>
      <c r="M3" s="3">
        <v>1.0</v>
      </c>
      <c r="N3" s="3">
        <v>79720.0</v>
      </c>
      <c r="O3" s="3">
        <v>0.0</v>
      </c>
      <c r="P3" s="3">
        <v>20.0</v>
      </c>
      <c r="Q3" s="3">
        <v>6.0</v>
      </c>
      <c r="R3" s="3">
        <v>2.0</v>
      </c>
    </row>
    <row r="4">
      <c r="A4" s="3">
        <v>81019.0</v>
      </c>
      <c r="B4" s="2" t="s">
        <v>1304</v>
      </c>
      <c r="C4" s="2" t="s">
        <v>1305</v>
      </c>
      <c r="D4" s="2" t="s">
        <v>1306</v>
      </c>
      <c r="E4" s="2" t="s">
        <v>220</v>
      </c>
      <c r="F4" s="2" t="s">
        <v>57</v>
      </c>
      <c r="G4" s="3" t="s">
        <v>1307</v>
      </c>
      <c r="H4" s="3" t="s">
        <v>1295</v>
      </c>
      <c r="I4" s="3">
        <v>40071.0</v>
      </c>
      <c r="J4" s="2" t="s">
        <v>1308</v>
      </c>
      <c r="K4" s="2" t="s">
        <v>1309</v>
      </c>
      <c r="L4" s="3">
        <v>1.0</v>
      </c>
      <c r="M4" s="3">
        <v>1.0</v>
      </c>
      <c r="N4" s="3">
        <v>81019.0</v>
      </c>
      <c r="O4" s="3">
        <v>0.0</v>
      </c>
      <c r="P4" s="3">
        <v>12.0</v>
      </c>
      <c r="Q4" s="3">
        <v>11.0</v>
      </c>
      <c r="R4" s="3">
        <v>5.0</v>
      </c>
    </row>
    <row r="5">
      <c r="A5" s="3">
        <v>84404.0</v>
      </c>
      <c r="B5" s="2" t="s">
        <v>426</v>
      </c>
      <c r="C5" s="2" t="s">
        <v>428</v>
      </c>
      <c r="D5" s="3">
        <v>7.026993339E9</v>
      </c>
      <c r="E5" s="2" t="s">
        <v>43</v>
      </c>
      <c r="F5" s="2" t="s">
        <v>57</v>
      </c>
      <c r="G5" s="9">
        <v>46328.52847222222</v>
      </c>
      <c r="H5" s="9">
        <v>46329.0</v>
      </c>
      <c r="I5" s="3">
        <v>39798.0</v>
      </c>
      <c r="J5" s="2" t="s">
        <v>1310</v>
      </c>
      <c r="K5" s="2" t="s">
        <v>1311</v>
      </c>
      <c r="L5" s="3">
        <v>1.0</v>
      </c>
      <c r="M5" s="6"/>
      <c r="N5" s="3">
        <v>84404.0</v>
      </c>
      <c r="O5" s="3">
        <v>0.0</v>
      </c>
      <c r="P5" s="3">
        <v>5.0</v>
      </c>
      <c r="Q5" s="3">
        <v>1.0</v>
      </c>
      <c r="R5" s="3">
        <v>1.0</v>
      </c>
    </row>
    <row r="6">
      <c r="A6" s="3">
        <v>86749.0</v>
      </c>
      <c r="B6" s="2" t="s">
        <v>1312</v>
      </c>
      <c r="C6" s="2" t="s">
        <v>1313</v>
      </c>
      <c r="D6" s="3">
        <v>7.818745789E9</v>
      </c>
      <c r="E6" s="2" t="s">
        <v>65</v>
      </c>
      <c r="F6" s="2" t="s">
        <v>57</v>
      </c>
      <c r="G6" s="3" t="s">
        <v>1314</v>
      </c>
      <c r="H6" s="9">
        <v>46084.0</v>
      </c>
      <c r="I6" s="3">
        <v>40206.0</v>
      </c>
      <c r="J6" s="2" t="s">
        <v>1315</v>
      </c>
      <c r="K6" s="2" t="s">
        <v>1316</v>
      </c>
      <c r="L6" s="3">
        <v>1.0</v>
      </c>
      <c r="M6" s="6"/>
      <c r="N6" s="3">
        <v>86749.0</v>
      </c>
      <c r="O6" s="3">
        <v>0.0</v>
      </c>
      <c r="P6" s="3">
        <v>2.0</v>
      </c>
      <c r="Q6" s="3">
        <v>0.0</v>
      </c>
      <c r="R6" s="3">
        <v>0.0</v>
      </c>
    </row>
    <row r="7">
      <c r="A7" s="3">
        <v>86897.0</v>
      </c>
      <c r="B7" s="2" t="s">
        <v>402</v>
      </c>
      <c r="C7" s="2" t="s">
        <v>405</v>
      </c>
      <c r="D7" s="3">
        <v>9.099702937E9</v>
      </c>
      <c r="E7" s="2" t="s">
        <v>88</v>
      </c>
      <c r="F7" s="2" t="s">
        <v>57</v>
      </c>
      <c r="G7" s="3" t="s">
        <v>1317</v>
      </c>
      <c r="H7" s="9">
        <v>46329.0</v>
      </c>
      <c r="I7" s="3">
        <v>38979.0</v>
      </c>
      <c r="J7" s="2" t="s">
        <v>1318</v>
      </c>
      <c r="K7" s="2" t="s">
        <v>1303</v>
      </c>
      <c r="L7" s="3">
        <v>1.0</v>
      </c>
      <c r="M7" s="6"/>
      <c r="N7" s="3">
        <v>86897.0</v>
      </c>
      <c r="O7" s="3">
        <v>0.0</v>
      </c>
      <c r="P7" s="3">
        <v>23.0</v>
      </c>
      <c r="Q7" s="3">
        <v>1.0</v>
      </c>
      <c r="R7" s="3">
        <v>0.0</v>
      </c>
    </row>
    <row r="8">
      <c r="A8" s="3">
        <v>88478.0</v>
      </c>
      <c r="B8" s="2" t="s">
        <v>1319</v>
      </c>
      <c r="C8" s="2" t="s">
        <v>1320</v>
      </c>
      <c r="D8" s="3">
        <v>7.817936868E9</v>
      </c>
      <c r="E8" s="2" t="s">
        <v>65</v>
      </c>
      <c r="F8" s="2" t="s">
        <v>57</v>
      </c>
      <c r="G8" s="3" t="s">
        <v>1321</v>
      </c>
      <c r="H8" s="9">
        <v>46145.0</v>
      </c>
      <c r="I8" s="3">
        <v>40184.0</v>
      </c>
      <c r="J8" s="2" t="s">
        <v>1322</v>
      </c>
      <c r="K8" s="2" t="s">
        <v>1303</v>
      </c>
      <c r="L8" s="3">
        <v>1.0</v>
      </c>
      <c r="M8" s="6"/>
      <c r="N8" s="3">
        <v>88478.0</v>
      </c>
      <c r="O8" s="3">
        <v>0.0</v>
      </c>
      <c r="P8" s="3">
        <v>2.0</v>
      </c>
      <c r="Q8" s="3">
        <v>0.0</v>
      </c>
      <c r="R8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1323</v>
      </c>
      <c r="B1" s="1" t="s">
        <v>1281</v>
      </c>
      <c r="C1" s="1" t="s">
        <v>1282</v>
      </c>
      <c r="D1" s="1" t="s">
        <v>1283</v>
      </c>
      <c r="E1" s="1" t="s">
        <v>1324</v>
      </c>
      <c r="F1" s="1" t="s">
        <v>25</v>
      </c>
      <c r="G1" s="1" t="s">
        <v>26</v>
      </c>
      <c r="H1" s="1" t="s">
        <v>19</v>
      </c>
      <c r="I1" s="1" t="s">
        <v>18</v>
      </c>
      <c r="J1" s="1" t="s">
        <v>1325</v>
      </c>
      <c r="K1" s="1" t="s">
        <v>1326</v>
      </c>
      <c r="L1" s="1" t="s">
        <v>1327</v>
      </c>
      <c r="M1" s="1" t="s">
        <v>1328</v>
      </c>
      <c r="N1" s="1" t="s">
        <v>1329</v>
      </c>
      <c r="O1" s="1" t="s">
        <v>1330</v>
      </c>
      <c r="P1" s="1" t="s">
        <v>1331</v>
      </c>
      <c r="Q1" s="1" t="s">
        <v>1332</v>
      </c>
      <c r="R1" s="1" t="s">
        <v>1333</v>
      </c>
      <c r="S1" s="1" t="s">
        <v>1334</v>
      </c>
      <c r="T1" s="1" t="s">
        <v>1335</v>
      </c>
      <c r="U1" s="1" t="s">
        <v>1336</v>
      </c>
      <c r="V1" s="1" t="s">
        <v>1337</v>
      </c>
    </row>
    <row r="2">
      <c r="A2" s="2" t="s">
        <v>1338</v>
      </c>
      <c r="B2" s="2" t="s">
        <v>1339</v>
      </c>
      <c r="C2" s="2" t="s">
        <v>1340</v>
      </c>
      <c r="D2" s="3">
        <v>9.051439925E9</v>
      </c>
      <c r="E2" s="2" t="s">
        <v>72</v>
      </c>
      <c r="F2" s="3">
        <v>7.0</v>
      </c>
      <c r="G2" s="2" t="s">
        <v>164</v>
      </c>
      <c r="H2" s="2" t="s">
        <v>220</v>
      </c>
      <c r="I2" s="2" t="s">
        <v>1341</v>
      </c>
      <c r="J2" s="2" t="s">
        <v>1342</v>
      </c>
      <c r="K2" s="3">
        <v>32010.0</v>
      </c>
      <c r="L2" s="3">
        <v>40173.0</v>
      </c>
      <c r="M2" s="3">
        <v>81074.0</v>
      </c>
      <c r="N2" s="5">
        <v>46087.72553240741</v>
      </c>
      <c r="O2" s="3">
        <v>656.0</v>
      </c>
      <c r="P2" s="5">
        <v>46105.61210648148</v>
      </c>
      <c r="Q2" s="3">
        <v>656.0</v>
      </c>
      <c r="R2" s="5">
        <v>46087.72553240741</v>
      </c>
      <c r="T2" s="2" t="s">
        <v>1343</v>
      </c>
      <c r="U2" s="3" t="s">
        <v>92</v>
      </c>
      <c r="V2" s="2" t="s">
        <v>57</v>
      </c>
    </row>
    <row r="3">
      <c r="A3" s="2" t="s">
        <v>1338</v>
      </c>
      <c r="B3" s="2" t="s">
        <v>1344</v>
      </c>
      <c r="C3" s="2" t="s">
        <v>1345</v>
      </c>
      <c r="D3" s="3">
        <v>8.652320276E9</v>
      </c>
      <c r="E3" s="2" t="s">
        <v>33</v>
      </c>
      <c r="F3" s="3">
        <v>5.0</v>
      </c>
      <c r="G3" s="2" t="s">
        <v>54</v>
      </c>
      <c r="H3" s="2" t="s">
        <v>65</v>
      </c>
      <c r="I3" s="2" t="s">
        <v>1346</v>
      </c>
      <c r="J3" s="2" t="s">
        <v>1344</v>
      </c>
      <c r="K3" s="3">
        <v>32022.0</v>
      </c>
      <c r="L3" s="3">
        <v>37762.0</v>
      </c>
      <c r="M3" s="3">
        <v>89118.0</v>
      </c>
      <c r="N3" s="5">
        <v>46108.488391203704</v>
      </c>
      <c r="O3" s="3">
        <v>89118.0</v>
      </c>
      <c r="P3" s="5">
        <v>46108.49501157407</v>
      </c>
      <c r="Q3" s="3">
        <v>89118.0</v>
      </c>
      <c r="R3" s="5">
        <v>46108.488391203704</v>
      </c>
      <c r="T3" s="2" t="s">
        <v>1347</v>
      </c>
      <c r="U3" s="3" t="s">
        <v>393</v>
      </c>
      <c r="V3" s="2" t="s">
        <v>57</v>
      </c>
    </row>
  </sheetData>
  <mergeCells count="2">
    <mergeCell ref="R2:S2"/>
    <mergeCell ref="R3:S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22.63"/>
  </cols>
  <sheetData>
    <row r="1">
      <c r="A1" s="1" t="s">
        <v>1348</v>
      </c>
      <c r="B1" s="1" t="s">
        <v>1349</v>
      </c>
      <c r="C1" s="1" t="s">
        <v>1350</v>
      </c>
      <c r="D1" s="1" t="s">
        <v>1351</v>
      </c>
      <c r="E1" s="1" t="s">
        <v>1282</v>
      </c>
      <c r="F1" s="1" t="s">
        <v>1283</v>
      </c>
      <c r="G1" s="1" t="s">
        <v>1352</v>
      </c>
      <c r="H1" s="1" t="s">
        <v>19</v>
      </c>
      <c r="I1" s="1" t="s">
        <v>1353</v>
      </c>
      <c r="J1" s="1" t="s">
        <v>1337</v>
      </c>
      <c r="K1" s="1" t="s">
        <v>1354</v>
      </c>
    </row>
    <row r="2">
      <c r="A2" s="3">
        <v>88900.0</v>
      </c>
      <c r="B2" s="2" t="s">
        <v>1355</v>
      </c>
      <c r="C2" s="5">
        <v>46082.00208333333</v>
      </c>
      <c r="D2" s="2" t="s">
        <v>1356</v>
      </c>
      <c r="E2" s="2" t="s">
        <v>1357</v>
      </c>
      <c r="F2" s="3">
        <v>8.766967899E9</v>
      </c>
      <c r="G2" s="2" t="s">
        <v>44</v>
      </c>
      <c r="H2" s="2" t="s">
        <v>59</v>
      </c>
      <c r="I2" s="2" t="s">
        <v>275</v>
      </c>
      <c r="J2" s="2" t="s">
        <v>57</v>
      </c>
    </row>
    <row r="3">
      <c r="A3" s="3">
        <v>88901.0</v>
      </c>
      <c r="B3" s="2" t="s">
        <v>1358</v>
      </c>
      <c r="C3" s="5">
        <v>46082.352268518516</v>
      </c>
      <c r="D3" s="2" t="s">
        <v>1356</v>
      </c>
      <c r="E3" s="2" t="s">
        <v>1359</v>
      </c>
      <c r="F3" s="3">
        <v>8.809340704E9</v>
      </c>
      <c r="G3" s="2" t="s">
        <v>44</v>
      </c>
      <c r="H3" s="2" t="s">
        <v>1360</v>
      </c>
      <c r="I3" s="2" t="s">
        <v>1361</v>
      </c>
      <c r="J3" s="2" t="s">
        <v>57</v>
      </c>
    </row>
    <row r="4">
      <c r="A4" s="3">
        <v>88902.0</v>
      </c>
      <c r="B4" s="2" t="s">
        <v>1362</v>
      </c>
      <c r="C4" s="5">
        <v>46082.40577546296</v>
      </c>
      <c r="D4" s="2" t="s">
        <v>1363</v>
      </c>
      <c r="E4" s="2" t="s">
        <v>1364</v>
      </c>
      <c r="F4" s="3">
        <v>8.092355339E9</v>
      </c>
      <c r="G4" s="2" t="s">
        <v>44</v>
      </c>
      <c r="H4" s="2" t="s">
        <v>1365</v>
      </c>
      <c r="I4" s="2" t="s">
        <v>1366</v>
      </c>
      <c r="J4" s="2" t="s">
        <v>57</v>
      </c>
    </row>
    <row r="5">
      <c r="A5" s="3">
        <v>88903.0</v>
      </c>
      <c r="B5" s="2" t="s">
        <v>1367</v>
      </c>
      <c r="C5" s="5">
        <v>46082.42789351852</v>
      </c>
      <c r="D5" s="2" t="s">
        <v>1356</v>
      </c>
      <c r="E5" s="2" t="s">
        <v>1368</v>
      </c>
      <c r="F5" s="3">
        <v>7.999414533E9</v>
      </c>
      <c r="G5" s="2" t="s">
        <v>44</v>
      </c>
      <c r="H5" s="2" t="s">
        <v>286</v>
      </c>
      <c r="I5" s="2" t="s">
        <v>848</v>
      </c>
      <c r="J5" s="2" t="s">
        <v>57</v>
      </c>
    </row>
    <row r="6">
      <c r="A6" s="3">
        <v>88904.0</v>
      </c>
      <c r="B6" s="2" t="s">
        <v>1369</v>
      </c>
      <c r="C6" s="5">
        <v>46082.52439814815</v>
      </c>
      <c r="D6" s="2" t="s">
        <v>1356</v>
      </c>
      <c r="E6" s="2" t="s">
        <v>1370</v>
      </c>
      <c r="F6" s="3">
        <v>8.789075711E9</v>
      </c>
      <c r="G6" s="2" t="s">
        <v>44</v>
      </c>
      <c r="H6" s="2" t="s">
        <v>226</v>
      </c>
      <c r="I6" s="2" t="s">
        <v>1034</v>
      </c>
      <c r="J6" s="2" t="s">
        <v>57</v>
      </c>
    </row>
    <row r="7">
      <c r="A7" s="3">
        <v>88905.0</v>
      </c>
      <c r="B7" s="2" t="s">
        <v>1000</v>
      </c>
      <c r="C7" s="5">
        <v>46082.54666666667</v>
      </c>
      <c r="D7" s="2" t="s">
        <v>1356</v>
      </c>
      <c r="E7" s="2" t="s">
        <v>1002</v>
      </c>
      <c r="F7" s="3">
        <v>6.393167686E9</v>
      </c>
      <c r="G7" s="2" t="s">
        <v>44</v>
      </c>
      <c r="H7" s="2" t="s">
        <v>43</v>
      </c>
      <c r="I7" s="2" t="s">
        <v>42</v>
      </c>
      <c r="J7" s="2" t="s">
        <v>57</v>
      </c>
    </row>
    <row r="8">
      <c r="A8" s="3">
        <v>88906.0</v>
      </c>
      <c r="B8" s="2" t="s">
        <v>1371</v>
      </c>
      <c r="C8" s="5">
        <v>46082.56684027778</v>
      </c>
      <c r="D8" s="2" t="s">
        <v>1356</v>
      </c>
      <c r="E8" s="2" t="s">
        <v>1372</v>
      </c>
      <c r="F8" s="3">
        <v>8.447269199E9</v>
      </c>
      <c r="G8" s="2" t="s">
        <v>44</v>
      </c>
      <c r="H8" s="2" t="s">
        <v>43</v>
      </c>
      <c r="I8" s="2" t="s">
        <v>42</v>
      </c>
      <c r="J8" s="2" t="s">
        <v>57</v>
      </c>
    </row>
    <row r="9">
      <c r="A9" s="3">
        <v>88912.0</v>
      </c>
      <c r="B9" s="2" t="s">
        <v>1373</v>
      </c>
      <c r="C9" s="5">
        <v>46082.869363425925</v>
      </c>
      <c r="D9" s="2" t="s">
        <v>1356</v>
      </c>
      <c r="E9" s="2" t="s">
        <v>1374</v>
      </c>
      <c r="F9" s="3">
        <v>7.482940501E9</v>
      </c>
      <c r="G9" s="2" t="s">
        <v>44</v>
      </c>
      <c r="H9" s="2" t="s">
        <v>663</v>
      </c>
      <c r="I9" s="2" t="s">
        <v>1375</v>
      </c>
      <c r="J9" s="2" t="s">
        <v>57</v>
      </c>
    </row>
    <row r="10">
      <c r="A10" s="3">
        <v>88913.0</v>
      </c>
      <c r="B10" s="2" t="s">
        <v>1376</v>
      </c>
      <c r="C10" s="5">
        <v>46082.877800925926</v>
      </c>
      <c r="D10" s="2" t="s">
        <v>1356</v>
      </c>
      <c r="E10" s="2" t="s">
        <v>1377</v>
      </c>
      <c r="F10" s="3">
        <v>6.280837086E9</v>
      </c>
      <c r="G10" s="2" t="s">
        <v>44</v>
      </c>
      <c r="H10" s="2" t="s">
        <v>226</v>
      </c>
      <c r="I10" s="2" t="s">
        <v>1020</v>
      </c>
      <c r="J10" s="2" t="s">
        <v>57</v>
      </c>
    </row>
    <row r="11">
      <c r="A11" s="3">
        <v>88914.0</v>
      </c>
      <c r="B11" s="2" t="s">
        <v>1378</v>
      </c>
      <c r="C11" s="5">
        <v>46082.91722222222</v>
      </c>
      <c r="D11" s="2" t="s">
        <v>1356</v>
      </c>
      <c r="E11" s="2" t="s">
        <v>1379</v>
      </c>
      <c r="F11" s="3">
        <v>8.448587638E9</v>
      </c>
      <c r="G11" s="2" t="s">
        <v>44</v>
      </c>
      <c r="H11" s="2" t="s">
        <v>121</v>
      </c>
      <c r="I11" s="2" t="s">
        <v>120</v>
      </c>
      <c r="J11" s="2" t="s">
        <v>57</v>
      </c>
    </row>
    <row r="12">
      <c r="A12" s="3">
        <v>88915.0</v>
      </c>
      <c r="B12" s="2" t="s">
        <v>1380</v>
      </c>
      <c r="C12" s="5">
        <v>46083.04130787037</v>
      </c>
      <c r="D12" s="2" t="s">
        <v>1356</v>
      </c>
      <c r="E12" s="2" t="s">
        <v>1381</v>
      </c>
      <c r="F12" s="3">
        <v>7.903986324E9</v>
      </c>
      <c r="G12" s="2" t="s">
        <v>44</v>
      </c>
      <c r="H12" s="2" t="s">
        <v>1365</v>
      </c>
      <c r="I12" s="2" t="s">
        <v>1366</v>
      </c>
      <c r="J12" s="2" t="s">
        <v>57</v>
      </c>
    </row>
    <row r="13">
      <c r="A13" s="3">
        <v>88916.0</v>
      </c>
      <c r="B13" s="2" t="s">
        <v>1382</v>
      </c>
      <c r="C13" s="5">
        <v>46083.096921296295</v>
      </c>
      <c r="D13" s="2" t="s">
        <v>1356</v>
      </c>
      <c r="E13" s="2" t="s">
        <v>1383</v>
      </c>
      <c r="F13" s="3">
        <v>9.089777373E9</v>
      </c>
      <c r="G13" s="2" t="s">
        <v>533</v>
      </c>
      <c r="H13" s="2" t="s">
        <v>1384</v>
      </c>
      <c r="I13" s="2" t="s">
        <v>1385</v>
      </c>
      <c r="J13" s="2" t="s">
        <v>57</v>
      </c>
    </row>
    <row r="14">
      <c r="A14" s="3">
        <v>88917.0</v>
      </c>
      <c r="B14" s="2" t="s">
        <v>1386</v>
      </c>
      <c r="C14" s="5">
        <v>46083.58174768519</v>
      </c>
      <c r="D14" s="2" t="s">
        <v>1356</v>
      </c>
      <c r="E14" s="2" t="s">
        <v>1387</v>
      </c>
      <c r="F14" s="6" t="str">
        <f>+91 99608 93628</f>
        <v>#ERROR!</v>
      </c>
      <c r="G14" s="2" t="s">
        <v>44</v>
      </c>
      <c r="H14" s="2" t="s">
        <v>59</v>
      </c>
      <c r="I14" s="2" t="s">
        <v>58</v>
      </c>
      <c r="J14" s="2" t="s">
        <v>57</v>
      </c>
    </row>
    <row r="15">
      <c r="A15" s="3">
        <v>88918.0</v>
      </c>
      <c r="B15" s="2" t="s">
        <v>1388</v>
      </c>
      <c r="C15" s="5">
        <v>46083.629537037035</v>
      </c>
      <c r="D15" s="2" t="s">
        <v>1356</v>
      </c>
      <c r="E15" s="2" t="s">
        <v>1389</v>
      </c>
      <c r="F15" s="3">
        <v>7.987212695E9</v>
      </c>
      <c r="G15" s="2" t="s">
        <v>44</v>
      </c>
      <c r="H15" s="2" t="s">
        <v>128</v>
      </c>
      <c r="I15" s="2" t="s">
        <v>127</v>
      </c>
      <c r="J15" s="2" t="s">
        <v>57</v>
      </c>
    </row>
    <row r="16">
      <c r="A16" s="3">
        <v>88919.0</v>
      </c>
      <c r="B16" s="2" t="s">
        <v>1390</v>
      </c>
      <c r="C16" s="5">
        <v>46083.63328703704</v>
      </c>
      <c r="D16" s="2" t="s">
        <v>1356</v>
      </c>
      <c r="E16" s="2" t="s">
        <v>1391</v>
      </c>
      <c r="F16" s="3">
        <v>8.179269841E9</v>
      </c>
      <c r="G16" s="2" t="s">
        <v>44</v>
      </c>
      <c r="H16" s="2" t="s">
        <v>43</v>
      </c>
      <c r="I16" s="2" t="s">
        <v>42</v>
      </c>
      <c r="J16" s="2" t="s">
        <v>57</v>
      </c>
    </row>
    <row r="17">
      <c r="A17" s="3">
        <v>88920.0</v>
      </c>
      <c r="B17" s="2" t="s">
        <v>1392</v>
      </c>
      <c r="C17" s="5">
        <v>46083.722233796296</v>
      </c>
      <c r="D17" s="5"/>
      <c r="E17" s="2" t="s">
        <v>1393</v>
      </c>
      <c r="F17" s="3">
        <v>5.077434911E9</v>
      </c>
      <c r="G17" s="6"/>
      <c r="H17" s="6"/>
      <c r="I17" s="6"/>
      <c r="J17" s="2" t="s">
        <v>1394</v>
      </c>
    </row>
    <row r="18">
      <c r="A18" s="3">
        <v>88921.0</v>
      </c>
      <c r="B18" s="2" t="s">
        <v>1395</v>
      </c>
      <c r="C18" s="5">
        <v>46083.75918981482</v>
      </c>
      <c r="D18" s="2" t="s">
        <v>1363</v>
      </c>
      <c r="E18" s="2" t="s">
        <v>1396</v>
      </c>
      <c r="F18" s="6" t="str">
        <f>+91 6297605164</f>
        <v>#ERROR!</v>
      </c>
      <c r="G18" s="2" t="s">
        <v>44</v>
      </c>
      <c r="H18" s="2" t="s">
        <v>220</v>
      </c>
      <c r="I18" s="2" t="s">
        <v>1397</v>
      </c>
      <c r="J18" s="2" t="s">
        <v>57</v>
      </c>
    </row>
    <row r="19">
      <c r="A19" s="3">
        <v>88922.0</v>
      </c>
      <c r="B19" s="2" t="s">
        <v>1398</v>
      </c>
      <c r="C19" s="5">
        <v>46083.783125</v>
      </c>
      <c r="D19" s="2" t="s">
        <v>1356</v>
      </c>
      <c r="E19" s="2" t="s">
        <v>1399</v>
      </c>
      <c r="F19" s="2" t="s">
        <v>1400</v>
      </c>
      <c r="G19" s="2" t="s">
        <v>44</v>
      </c>
      <c r="H19" s="2" t="s">
        <v>43</v>
      </c>
      <c r="I19" s="2" t="s">
        <v>42</v>
      </c>
      <c r="J19" s="2" t="s">
        <v>57</v>
      </c>
    </row>
    <row r="20">
      <c r="A20" s="3">
        <v>88923.0</v>
      </c>
      <c r="B20" s="2" t="s">
        <v>1401</v>
      </c>
      <c r="C20" s="5">
        <v>46083.93336805556</v>
      </c>
      <c r="D20" s="2" t="s">
        <v>1356</v>
      </c>
      <c r="E20" s="2" t="s">
        <v>1402</v>
      </c>
      <c r="F20" s="3">
        <v>9.94503553E9</v>
      </c>
      <c r="G20" s="2" t="s">
        <v>44</v>
      </c>
      <c r="H20" s="2" t="s">
        <v>43</v>
      </c>
      <c r="I20" s="2" t="s">
        <v>42</v>
      </c>
      <c r="J20" s="2" t="s">
        <v>57</v>
      </c>
    </row>
    <row r="21">
      <c r="A21" s="3">
        <v>88924.0</v>
      </c>
      <c r="B21" s="2" t="s">
        <v>1403</v>
      </c>
      <c r="C21" s="5">
        <v>46083.99282407408</v>
      </c>
      <c r="D21" s="2" t="s">
        <v>1356</v>
      </c>
      <c r="E21" s="2" t="s">
        <v>1404</v>
      </c>
      <c r="F21" s="3">
        <v>8.368166415E9</v>
      </c>
      <c r="G21" s="2" t="s">
        <v>44</v>
      </c>
      <c r="H21" s="2" t="s">
        <v>65</v>
      </c>
      <c r="I21" s="2" t="s">
        <v>332</v>
      </c>
      <c r="J21" s="2" t="s">
        <v>57</v>
      </c>
    </row>
    <row r="22">
      <c r="A22" s="3">
        <v>88925.0</v>
      </c>
      <c r="B22" s="2" t="s">
        <v>1405</v>
      </c>
      <c r="C22" s="5">
        <v>46083.99435185185</v>
      </c>
      <c r="D22" s="2" t="s">
        <v>1356</v>
      </c>
      <c r="E22" s="2" t="s">
        <v>1406</v>
      </c>
      <c r="F22" s="3">
        <v>9.311678244E9</v>
      </c>
      <c r="G22" s="2" t="s">
        <v>44</v>
      </c>
      <c r="H22" s="2" t="s">
        <v>121</v>
      </c>
      <c r="I22" s="2" t="s">
        <v>120</v>
      </c>
      <c r="J22" s="2" t="s">
        <v>57</v>
      </c>
    </row>
    <row r="23">
      <c r="A23" s="3">
        <v>88926.0</v>
      </c>
      <c r="B23" s="2" t="s">
        <v>1407</v>
      </c>
      <c r="C23" s="5">
        <v>46084.052453703705</v>
      </c>
      <c r="D23" s="2" t="s">
        <v>1363</v>
      </c>
      <c r="E23" s="2" t="s">
        <v>1408</v>
      </c>
      <c r="F23" s="3">
        <v>7.670838244E9</v>
      </c>
      <c r="G23" s="2" t="s">
        <v>44</v>
      </c>
      <c r="H23" s="2" t="s">
        <v>48</v>
      </c>
      <c r="I23" s="2" t="s">
        <v>1409</v>
      </c>
      <c r="J23" s="2" t="s">
        <v>57</v>
      </c>
    </row>
    <row r="24">
      <c r="A24" s="3">
        <v>88927.0</v>
      </c>
      <c r="B24" s="2" t="s">
        <v>1410</v>
      </c>
      <c r="C24" s="5">
        <v>46084.47136574074</v>
      </c>
      <c r="D24" s="2" t="s">
        <v>1363</v>
      </c>
      <c r="E24" s="2" t="s">
        <v>1411</v>
      </c>
      <c r="F24" s="3">
        <v>9.079800735E9</v>
      </c>
      <c r="G24" s="2" t="s">
        <v>44</v>
      </c>
      <c r="H24" s="2" t="s">
        <v>455</v>
      </c>
      <c r="I24" s="2" t="s">
        <v>454</v>
      </c>
      <c r="J24" s="2" t="s">
        <v>57</v>
      </c>
    </row>
    <row r="25">
      <c r="A25" s="3">
        <v>88928.0</v>
      </c>
      <c r="B25" s="2" t="s">
        <v>1412</v>
      </c>
      <c r="C25" s="5">
        <v>46084.51025462963</v>
      </c>
      <c r="D25" s="2" t="s">
        <v>1356</v>
      </c>
      <c r="E25" s="2" t="s">
        <v>1413</v>
      </c>
      <c r="F25" s="3">
        <v>9.686174784E9</v>
      </c>
      <c r="G25" s="2" t="s">
        <v>44</v>
      </c>
      <c r="H25" s="2" t="s">
        <v>43</v>
      </c>
      <c r="I25" s="2" t="s">
        <v>42</v>
      </c>
      <c r="J25" s="2" t="s">
        <v>57</v>
      </c>
    </row>
    <row r="26">
      <c r="A26" s="3">
        <v>88929.0</v>
      </c>
      <c r="B26" s="2" t="s">
        <v>1414</v>
      </c>
      <c r="C26" s="5">
        <v>46084.571875</v>
      </c>
      <c r="D26" s="2" t="s">
        <v>1363</v>
      </c>
      <c r="E26" s="2" t="s">
        <v>1415</v>
      </c>
      <c r="F26" s="3">
        <v>8.328399834E9</v>
      </c>
      <c r="G26" s="2" t="s">
        <v>44</v>
      </c>
      <c r="H26" s="2" t="s">
        <v>128</v>
      </c>
      <c r="I26" s="2" t="s">
        <v>127</v>
      </c>
      <c r="J26" s="2" t="s">
        <v>57</v>
      </c>
    </row>
    <row r="27">
      <c r="A27" s="3">
        <v>88930.0</v>
      </c>
      <c r="B27" s="2" t="s">
        <v>1416</v>
      </c>
      <c r="C27" s="5">
        <v>46084.604479166665</v>
      </c>
      <c r="D27" s="2" t="s">
        <v>1363</v>
      </c>
      <c r="E27" s="2" t="s">
        <v>1417</v>
      </c>
      <c r="F27" s="3">
        <v>7.406620941E9</v>
      </c>
      <c r="G27" s="2" t="s">
        <v>44</v>
      </c>
      <c r="H27" s="2" t="s">
        <v>43</v>
      </c>
      <c r="I27" s="2" t="s">
        <v>42</v>
      </c>
      <c r="J27" s="2" t="s">
        <v>790</v>
      </c>
    </row>
    <row r="28">
      <c r="A28" s="3">
        <v>88931.0</v>
      </c>
      <c r="B28" s="2" t="s">
        <v>1418</v>
      </c>
      <c r="C28" s="5">
        <v>46084.611180555556</v>
      </c>
      <c r="D28" s="2" t="s">
        <v>1356</v>
      </c>
      <c r="E28" s="2" t="s">
        <v>1419</v>
      </c>
      <c r="F28" s="3">
        <v>8.081443848E9</v>
      </c>
      <c r="G28" s="2" t="s">
        <v>44</v>
      </c>
      <c r="H28" s="2" t="s">
        <v>65</v>
      </c>
      <c r="I28" s="2" t="s">
        <v>1420</v>
      </c>
      <c r="J28" s="2" t="s">
        <v>57</v>
      </c>
    </row>
    <row r="29">
      <c r="A29" s="3">
        <v>88932.0</v>
      </c>
      <c r="B29" s="2" t="s">
        <v>1421</v>
      </c>
      <c r="C29" s="5">
        <v>46084.63935185185</v>
      </c>
      <c r="D29" s="2" t="s">
        <v>1363</v>
      </c>
      <c r="E29" s="2" t="s">
        <v>1422</v>
      </c>
      <c r="F29" s="3">
        <v>8.527845188E9</v>
      </c>
      <c r="G29" s="2" t="s">
        <v>44</v>
      </c>
      <c r="H29" s="2" t="s">
        <v>121</v>
      </c>
      <c r="I29" s="2" t="s">
        <v>120</v>
      </c>
      <c r="J29" s="2" t="s">
        <v>557</v>
      </c>
    </row>
    <row r="30">
      <c r="A30" s="3">
        <v>88933.0</v>
      </c>
      <c r="B30" s="2" t="s">
        <v>1423</v>
      </c>
      <c r="C30" s="5">
        <v>46084.71806712963</v>
      </c>
      <c r="D30" s="2" t="s">
        <v>1363</v>
      </c>
      <c r="E30" s="2" t="s">
        <v>1424</v>
      </c>
      <c r="F30" s="10">
        <v>9.1702E11</v>
      </c>
      <c r="G30" s="2" t="s">
        <v>44</v>
      </c>
      <c r="H30" s="2" t="s">
        <v>43</v>
      </c>
      <c r="I30" s="2" t="s">
        <v>1425</v>
      </c>
      <c r="J30" s="2" t="s">
        <v>57</v>
      </c>
    </row>
    <row r="31">
      <c r="A31" s="3">
        <v>88934.0</v>
      </c>
      <c r="B31" s="2" t="s">
        <v>1426</v>
      </c>
      <c r="C31" s="5">
        <v>46084.88412037037</v>
      </c>
      <c r="D31" s="2" t="s">
        <v>1356</v>
      </c>
      <c r="E31" s="2" t="s">
        <v>1427</v>
      </c>
      <c r="F31" s="3">
        <v>8.010993452E9</v>
      </c>
      <c r="G31" s="2" t="s">
        <v>44</v>
      </c>
      <c r="H31" s="2" t="s">
        <v>59</v>
      </c>
      <c r="I31" s="2" t="s">
        <v>1428</v>
      </c>
      <c r="J31" s="2" t="s">
        <v>57</v>
      </c>
    </row>
    <row r="32">
      <c r="A32" s="3">
        <v>88935.0</v>
      </c>
      <c r="B32" s="2" t="s">
        <v>1429</v>
      </c>
      <c r="C32" s="5">
        <v>46084.979780092595</v>
      </c>
      <c r="D32" s="2" t="s">
        <v>1356</v>
      </c>
      <c r="E32" s="2" t="s">
        <v>1430</v>
      </c>
      <c r="F32" s="3">
        <v>9.767986923E9</v>
      </c>
      <c r="G32" s="2" t="s">
        <v>1431</v>
      </c>
      <c r="H32" s="2" t="s">
        <v>1432</v>
      </c>
      <c r="I32" s="2" t="s">
        <v>1433</v>
      </c>
      <c r="J32" s="2" t="s">
        <v>57</v>
      </c>
    </row>
    <row r="33">
      <c r="A33" s="3">
        <v>88936.0</v>
      </c>
      <c r="B33" s="2" t="s">
        <v>1434</v>
      </c>
      <c r="C33" s="5">
        <v>46085.03023148148</v>
      </c>
      <c r="D33" s="2" t="s">
        <v>1356</v>
      </c>
      <c r="E33" s="2" t="s">
        <v>1435</v>
      </c>
      <c r="F33" s="3">
        <v>6.291982862E9</v>
      </c>
      <c r="G33" s="2" t="s">
        <v>44</v>
      </c>
      <c r="H33" s="2" t="s">
        <v>220</v>
      </c>
      <c r="I33" s="2" t="s">
        <v>219</v>
      </c>
      <c r="J33" s="2" t="s">
        <v>57</v>
      </c>
    </row>
    <row r="34">
      <c r="A34" s="3">
        <v>88937.0</v>
      </c>
      <c r="B34" s="2" t="s">
        <v>1436</v>
      </c>
      <c r="C34" s="5">
        <v>46085.342199074075</v>
      </c>
      <c r="D34" s="2" t="s">
        <v>1363</v>
      </c>
      <c r="E34" s="2" t="s">
        <v>1437</v>
      </c>
      <c r="F34" s="3">
        <v>6.573195567E9</v>
      </c>
      <c r="G34" s="2" t="s">
        <v>533</v>
      </c>
      <c r="H34" s="2" t="s">
        <v>1438</v>
      </c>
      <c r="I34" s="2" t="s">
        <v>1439</v>
      </c>
      <c r="J34" s="2" t="s">
        <v>57</v>
      </c>
    </row>
    <row r="35">
      <c r="A35" s="3">
        <v>88938.0</v>
      </c>
      <c r="B35" s="2" t="s">
        <v>1440</v>
      </c>
      <c r="C35" s="5">
        <v>46085.45422453704</v>
      </c>
      <c r="D35" s="2" t="s">
        <v>1356</v>
      </c>
      <c r="E35" s="2" t="s">
        <v>1441</v>
      </c>
      <c r="F35" s="3">
        <v>7.09381498E9</v>
      </c>
      <c r="G35" s="2" t="s">
        <v>44</v>
      </c>
      <c r="H35" s="2" t="s">
        <v>48</v>
      </c>
      <c r="I35" s="2" t="s">
        <v>1442</v>
      </c>
      <c r="J35" s="2" t="s">
        <v>57</v>
      </c>
    </row>
    <row r="36">
      <c r="A36" s="3">
        <v>88939.0</v>
      </c>
      <c r="B36" s="2" t="s">
        <v>1443</v>
      </c>
      <c r="C36" s="5">
        <v>46085.46625</v>
      </c>
      <c r="D36" s="2" t="s">
        <v>1363</v>
      </c>
      <c r="E36" s="2" t="s">
        <v>1444</v>
      </c>
      <c r="F36" s="3">
        <v>8.18095959E9</v>
      </c>
      <c r="G36" s="2" t="s">
        <v>44</v>
      </c>
      <c r="H36" s="2" t="s">
        <v>59</v>
      </c>
      <c r="I36" s="2" t="s">
        <v>1445</v>
      </c>
      <c r="J36" s="2" t="s">
        <v>57</v>
      </c>
    </row>
    <row r="37">
      <c r="A37" s="3">
        <v>88940.0</v>
      </c>
      <c r="B37" s="2" t="s">
        <v>1446</v>
      </c>
      <c r="C37" s="5">
        <v>46085.66825231481</v>
      </c>
      <c r="D37" s="2" t="s">
        <v>1363</v>
      </c>
      <c r="E37" s="2" t="s">
        <v>1447</v>
      </c>
      <c r="F37" s="3">
        <v>8.05683884E9</v>
      </c>
      <c r="G37" s="2" t="s">
        <v>44</v>
      </c>
      <c r="H37" s="2" t="s">
        <v>110</v>
      </c>
      <c r="I37" s="2" t="s">
        <v>191</v>
      </c>
      <c r="J37" s="2" t="s">
        <v>57</v>
      </c>
    </row>
    <row r="38">
      <c r="A38" s="3">
        <v>88941.0</v>
      </c>
      <c r="B38" s="2" t="s">
        <v>1448</v>
      </c>
      <c r="C38" s="5">
        <v>46085.75178240741</v>
      </c>
      <c r="D38" s="2" t="s">
        <v>1356</v>
      </c>
      <c r="E38" s="2" t="s">
        <v>1449</v>
      </c>
      <c r="F38" s="3">
        <v>7.993424106E9</v>
      </c>
      <c r="G38" s="2" t="s">
        <v>44</v>
      </c>
      <c r="H38" s="2" t="s">
        <v>128</v>
      </c>
      <c r="I38" s="2" t="s">
        <v>127</v>
      </c>
      <c r="J38" s="2" t="s">
        <v>57</v>
      </c>
    </row>
    <row r="39">
      <c r="A39" s="3">
        <v>88942.0</v>
      </c>
      <c r="B39" s="2" t="s">
        <v>1450</v>
      </c>
      <c r="C39" s="5">
        <v>46085.779444444444</v>
      </c>
      <c r="D39" s="2" t="s">
        <v>1356</v>
      </c>
      <c r="E39" s="2" t="s">
        <v>1451</v>
      </c>
      <c r="F39" s="3">
        <v>9.354883874E9</v>
      </c>
      <c r="G39" s="2" t="s">
        <v>44</v>
      </c>
      <c r="H39" s="2" t="s">
        <v>121</v>
      </c>
      <c r="I39" s="2" t="s">
        <v>121</v>
      </c>
      <c r="J39" s="2" t="s">
        <v>57</v>
      </c>
    </row>
    <row r="40">
      <c r="A40" s="3">
        <v>88943.0</v>
      </c>
      <c r="B40" s="2" t="s">
        <v>1452</v>
      </c>
      <c r="C40" s="5">
        <v>46085.83078703703</v>
      </c>
      <c r="D40" s="2" t="s">
        <v>1356</v>
      </c>
      <c r="E40" s="2" t="s">
        <v>1453</v>
      </c>
      <c r="F40" s="3">
        <v>9.05938604E9</v>
      </c>
      <c r="G40" s="2" t="s">
        <v>44</v>
      </c>
      <c r="H40" s="2" t="s">
        <v>128</v>
      </c>
      <c r="I40" s="2" t="s">
        <v>127</v>
      </c>
      <c r="J40" s="2" t="s">
        <v>57</v>
      </c>
    </row>
    <row r="41">
      <c r="A41" s="3">
        <v>88944.0</v>
      </c>
      <c r="B41" s="2" t="s">
        <v>1454</v>
      </c>
      <c r="C41" s="5">
        <v>46085.91131944444</v>
      </c>
      <c r="D41" s="2" t="s">
        <v>1356</v>
      </c>
      <c r="E41" s="2" t="s">
        <v>1455</v>
      </c>
      <c r="F41" s="3">
        <v>8.197396269E9</v>
      </c>
      <c r="G41" s="2" t="s">
        <v>44</v>
      </c>
      <c r="H41" s="2" t="s">
        <v>43</v>
      </c>
      <c r="I41" s="2" t="s">
        <v>1118</v>
      </c>
      <c r="J41" s="2" t="s">
        <v>57</v>
      </c>
    </row>
    <row r="42">
      <c r="A42" s="3">
        <v>88945.0</v>
      </c>
      <c r="B42" s="2" t="s">
        <v>1456</v>
      </c>
      <c r="C42" s="5">
        <v>46085.91719907407</v>
      </c>
      <c r="D42" s="2" t="s">
        <v>1356</v>
      </c>
      <c r="E42" s="2" t="s">
        <v>1457</v>
      </c>
      <c r="F42" s="3">
        <v>9.482316686E9</v>
      </c>
      <c r="G42" s="2" t="s">
        <v>44</v>
      </c>
      <c r="H42" s="2" t="s">
        <v>43</v>
      </c>
      <c r="I42" s="2" t="s">
        <v>42</v>
      </c>
      <c r="J42" s="2" t="s">
        <v>57</v>
      </c>
    </row>
    <row r="43">
      <c r="A43" s="3">
        <v>88946.0</v>
      </c>
      <c r="B43" s="2" t="s">
        <v>1458</v>
      </c>
      <c r="C43" s="5">
        <v>46085.966261574074</v>
      </c>
      <c r="D43" s="2" t="s">
        <v>1356</v>
      </c>
      <c r="E43" s="2" t="s">
        <v>1459</v>
      </c>
      <c r="F43" s="3">
        <v>9.150449658E9</v>
      </c>
      <c r="G43" s="2" t="s">
        <v>44</v>
      </c>
      <c r="H43" s="2" t="s">
        <v>128</v>
      </c>
      <c r="I43" s="2" t="s">
        <v>127</v>
      </c>
      <c r="J43" s="2" t="s">
        <v>57</v>
      </c>
    </row>
    <row r="44">
      <c r="A44" s="3">
        <v>88947.0</v>
      </c>
      <c r="B44" s="2" t="s">
        <v>1460</v>
      </c>
      <c r="C44" s="5">
        <v>46085.98434027778</v>
      </c>
      <c r="D44" s="2" t="s">
        <v>1356</v>
      </c>
      <c r="E44" s="2" t="s">
        <v>1461</v>
      </c>
      <c r="F44" s="6" t="str">
        <f>+91 96392-40820</f>
        <v>#ERROR!</v>
      </c>
      <c r="G44" s="2" t="s">
        <v>44</v>
      </c>
      <c r="H44" s="2" t="s">
        <v>65</v>
      </c>
      <c r="I44" s="2" t="s">
        <v>1462</v>
      </c>
      <c r="J44" s="2" t="s">
        <v>57</v>
      </c>
    </row>
    <row r="45">
      <c r="A45" s="3">
        <v>88948.0</v>
      </c>
      <c r="B45" s="2" t="s">
        <v>1463</v>
      </c>
      <c r="C45" s="5">
        <v>46086.00047453704</v>
      </c>
      <c r="D45" s="2" t="s">
        <v>1356</v>
      </c>
      <c r="E45" s="2" t="s">
        <v>1464</v>
      </c>
      <c r="F45" s="3">
        <v>9.479723575E9</v>
      </c>
      <c r="G45" s="2" t="s">
        <v>44</v>
      </c>
      <c r="H45" s="2" t="s">
        <v>286</v>
      </c>
      <c r="I45" s="2" t="s">
        <v>1465</v>
      </c>
      <c r="J45" s="2" t="s">
        <v>57</v>
      </c>
    </row>
    <row r="46">
      <c r="A46" s="3">
        <v>88949.0</v>
      </c>
      <c r="B46" s="2" t="s">
        <v>1466</v>
      </c>
      <c r="C46" s="5">
        <v>46086.14769675926</v>
      </c>
      <c r="D46" s="2" t="s">
        <v>1356</v>
      </c>
      <c r="E46" s="2" t="s">
        <v>1467</v>
      </c>
      <c r="F46" s="3">
        <v>8.884954952E9</v>
      </c>
      <c r="G46" s="2" t="s">
        <v>44</v>
      </c>
      <c r="H46" s="2" t="s">
        <v>43</v>
      </c>
      <c r="I46" s="2" t="s">
        <v>42</v>
      </c>
      <c r="J46" s="2" t="s">
        <v>57</v>
      </c>
    </row>
    <row r="47">
      <c r="A47" s="3">
        <v>88950.0</v>
      </c>
      <c r="B47" s="2" t="s">
        <v>1468</v>
      </c>
      <c r="C47" s="5">
        <v>46086.32045138889</v>
      </c>
      <c r="D47" s="2" t="s">
        <v>1356</v>
      </c>
      <c r="E47" s="2" t="s">
        <v>1469</v>
      </c>
      <c r="F47" s="3">
        <v>4.25370653E9</v>
      </c>
      <c r="G47" s="2" t="s">
        <v>533</v>
      </c>
      <c r="H47" s="2" t="s">
        <v>532</v>
      </c>
      <c r="I47" s="2" t="s">
        <v>531</v>
      </c>
      <c r="J47" s="2" t="s">
        <v>57</v>
      </c>
    </row>
    <row r="48">
      <c r="A48" s="3">
        <v>88951.0</v>
      </c>
      <c r="B48" s="2" t="s">
        <v>1470</v>
      </c>
      <c r="C48" s="5">
        <v>46086.452002314814</v>
      </c>
      <c r="D48" s="2" t="s">
        <v>1356</v>
      </c>
      <c r="E48" s="2" t="s">
        <v>1471</v>
      </c>
      <c r="F48" s="3">
        <v>7.735476438E9</v>
      </c>
      <c r="G48" s="2" t="s">
        <v>44</v>
      </c>
      <c r="H48" s="2" t="s">
        <v>474</v>
      </c>
      <c r="I48" s="2" t="s">
        <v>1472</v>
      </c>
      <c r="J48" s="2" t="s">
        <v>57</v>
      </c>
    </row>
    <row r="49">
      <c r="A49" s="3">
        <v>88952.0</v>
      </c>
      <c r="B49" s="2" t="s">
        <v>1473</v>
      </c>
      <c r="C49" s="5">
        <v>46086.47758101852</v>
      </c>
      <c r="D49" s="2" t="s">
        <v>1363</v>
      </c>
      <c r="E49" s="2" t="s">
        <v>1474</v>
      </c>
      <c r="F49" s="3">
        <v>8.860164128E9</v>
      </c>
      <c r="G49" s="2" t="s">
        <v>533</v>
      </c>
      <c r="H49" s="2" t="s">
        <v>1475</v>
      </c>
      <c r="I49" s="2" t="s">
        <v>1476</v>
      </c>
      <c r="J49" s="2" t="s">
        <v>57</v>
      </c>
    </row>
    <row r="50">
      <c r="A50" s="3">
        <v>88953.0</v>
      </c>
      <c r="B50" s="2" t="s">
        <v>1477</v>
      </c>
      <c r="C50" s="5">
        <v>46086.47912037037</v>
      </c>
      <c r="D50" s="2" t="s">
        <v>1363</v>
      </c>
      <c r="E50" s="2" t="s">
        <v>1478</v>
      </c>
      <c r="F50" s="3">
        <v>9.356892205E9</v>
      </c>
      <c r="G50" s="2" t="s">
        <v>44</v>
      </c>
      <c r="H50" s="2" t="s">
        <v>65</v>
      </c>
      <c r="I50" s="2" t="s">
        <v>618</v>
      </c>
      <c r="J50" s="2" t="s">
        <v>57</v>
      </c>
    </row>
    <row r="51">
      <c r="A51" s="3">
        <v>88954.0</v>
      </c>
      <c r="B51" s="2" t="s">
        <v>1479</v>
      </c>
      <c r="C51" s="5">
        <v>46086.498252314814</v>
      </c>
      <c r="D51" s="2" t="s">
        <v>1356</v>
      </c>
      <c r="E51" s="2" t="s">
        <v>1480</v>
      </c>
      <c r="F51" s="3">
        <v>7.300582866E9</v>
      </c>
      <c r="G51" s="2" t="s">
        <v>44</v>
      </c>
      <c r="H51" s="2" t="s">
        <v>65</v>
      </c>
      <c r="I51" s="2" t="s">
        <v>1462</v>
      </c>
      <c r="J51" s="2" t="s">
        <v>57</v>
      </c>
    </row>
    <row r="52">
      <c r="A52" s="3">
        <v>88955.0</v>
      </c>
      <c r="B52" s="2" t="s">
        <v>1481</v>
      </c>
      <c r="C52" s="5">
        <v>46086.56159722222</v>
      </c>
      <c r="D52" s="2" t="s">
        <v>1356</v>
      </c>
      <c r="E52" s="2" t="s">
        <v>1482</v>
      </c>
      <c r="F52" s="3">
        <v>8.655795075E9</v>
      </c>
      <c r="G52" s="2" t="s">
        <v>44</v>
      </c>
      <c r="H52" s="2" t="s">
        <v>59</v>
      </c>
      <c r="I52" s="2" t="s">
        <v>156</v>
      </c>
      <c r="J52" s="2" t="s">
        <v>57</v>
      </c>
    </row>
    <row r="53">
      <c r="A53" s="3">
        <v>88956.0</v>
      </c>
      <c r="B53" s="2" t="s">
        <v>1483</v>
      </c>
      <c r="C53" s="5">
        <v>46086.567337962966</v>
      </c>
      <c r="D53" s="2" t="s">
        <v>1356</v>
      </c>
      <c r="E53" s="2" t="s">
        <v>1484</v>
      </c>
      <c r="F53" s="3">
        <v>8.317622695E9</v>
      </c>
      <c r="G53" s="2" t="s">
        <v>44</v>
      </c>
      <c r="H53" s="2" t="s">
        <v>128</v>
      </c>
      <c r="I53" s="2" t="s">
        <v>127</v>
      </c>
      <c r="J53" s="2" t="s">
        <v>57</v>
      </c>
    </row>
    <row r="54">
      <c r="A54" s="3">
        <v>88957.0</v>
      </c>
      <c r="B54" s="2" t="s">
        <v>1485</v>
      </c>
      <c r="C54" s="5">
        <v>46086.58164351852</v>
      </c>
      <c r="D54" s="2" t="s">
        <v>1363</v>
      </c>
      <c r="E54" s="2" t="s">
        <v>1486</v>
      </c>
      <c r="F54" s="3">
        <v>9.560307333E9</v>
      </c>
      <c r="G54" s="2" t="s">
        <v>44</v>
      </c>
      <c r="H54" s="2" t="s">
        <v>121</v>
      </c>
      <c r="I54" s="2" t="s">
        <v>121</v>
      </c>
      <c r="J54" s="2" t="s">
        <v>57</v>
      </c>
    </row>
    <row r="55">
      <c r="A55" s="3">
        <v>88958.0</v>
      </c>
      <c r="B55" s="2" t="s">
        <v>1487</v>
      </c>
      <c r="C55" s="5">
        <v>46086.75722222222</v>
      </c>
      <c r="D55" s="2" t="s">
        <v>1356</v>
      </c>
      <c r="E55" s="2" t="s">
        <v>1488</v>
      </c>
      <c r="F55" s="10">
        <v>9.1831E11</v>
      </c>
      <c r="G55" s="2" t="s">
        <v>1489</v>
      </c>
      <c r="H55" s="2" t="s">
        <v>1490</v>
      </c>
      <c r="I55" s="2" t="s">
        <v>1491</v>
      </c>
      <c r="J55" s="2" t="s">
        <v>57</v>
      </c>
    </row>
    <row r="56">
      <c r="A56" s="3">
        <v>88959.0</v>
      </c>
      <c r="B56" s="2" t="s">
        <v>1492</v>
      </c>
      <c r="C56" s="5">
        <v>46087.11332175926</v>
      </c>
      <c r="D56" s="2" t="s">
        <v>1356</v>
      </c>
      <c r="E56" s="2" t="s">
        <v>1493</v>
      </c>
      <c r="F56" s="3">
        <v>9.079156854E9</v>
      </c>
      <c r="G56" s="2" t="s">
        <v>44</v>
      </c>
      <c r="H56" s="2" t="s">
        <v>43</v>
      </c>
      <c r="I56" s="2" t="s">
        <v>42</v>
      </c>
      <c r="J56" s="2" t="s">
        <v>57</v>
      </c>
    </row>
    <row r="57">
      <c r="A57" s="3">
        <v>88960.0</v>
      </c>
      <c r="B57" s="2" t="s">
        <v>1494</v>
      </c>
      <c r="C57" s="5">
        <v>46087.37194444444</v>
      </c>
      <c r="D57" s="2" t="s">
        <v>1356</v>
      </c>
      <c r="E57" s="2" t="s">
        <v>1495</v>
      </c>
      <c r="F57" s="3">
        <v>7.061629878E9</v>
      </c>
      <c r="G57" s="2" t="s">
        <v>44</v>
      </c>
      <c r="H57" s="2" t="s">
        <v>59</v>
      </c>
      <c r="I57" s="2" t="s">
        <v>275</v>
      </c>
      <c r="J57" s="2" t="s">
        <v>57</v>
      </c>
    </row>
    <row r="58">
      <c r="A58" s="3">
        <v>88961.0</v>
      </c>
      <c r="B58" s="2" t="s">
        <v>1496</v>
      </c>
      <c r="C58" s="5">
        <v>46087.42173611111</v>
      </c>
      <c r="D58" s="2" t="s">
        <v>1356</v>
      </c>
      <c r="E58" s="2" t="s">
        <v>1497</v>
      </c>
      <c r="F58" s="3">
        <v>4.08921237E9</v>
      </c>
      <c r="G58" s="2" t="s">
        <v>533</v>
      </c>
      <c r="H58" s="2" t="s">
        <v>1498</v>
      </c>
      <c r="I58" s="2" t="s">
        <v>1499</v>
      </c>
      <c r="J58" s="2" t="s">
        <v>57</v>
      </c>
    </row>
    <row r="59">
      <c r="A59" s="3">
        <v>88962.0</v>
      </c>
      <c r="B59" s="2" t="s">
        <v>1500</v>
      </c>
      <c r="C59" s="5">
        <v>46087.46559027778</v>
      </c>
      <c r="D59" s="2" t="s">
        <v>1356</v>
      </c>
      <c r="E59" s="2" t="s">
        <v>1501</v>
      </c>
      <c r="F59" s="3">
        <v>7.017052326E9</v>
      </c>
      <c r="G59" s="2" t="s">
        <v>44</v>
      </c>
      <c r="H59" s="2" t="s">
        <v>226</v>
      </c>
      <c r="I59" s="2" t="s">
        <v>1034</v>
      </c>
      <c r="J59" s="2" t="s">
        <v>57</v>
      </c>
    </row>
    <row r="60">
      <c r="A60" s="3">
        <v>88963.0</v>
      </c>
      <c r="B60" s="2" t="s">
        <v>1502</v>
      </c>
      <c r="C60" s="5">
        <v>46087.488078703704</v>
      </c>
      <c r="D60" s="2" t="s">
        <v>1356</v>
      </c>
      <c r="E60" s="2" t="s">
        <v>1503</v>
      </c>
      <c r="F60" s="3">
        <v>7.888209763E9</v>
      </c>
      <c r="G60" s="2" t="s">
        <v>44</v>
      </c>
      <c r="H60" s="2" t="s">
        <v>43</v>
      </c>
      <c r="I60" s="2" t="s">
        <v>42</v>
      </c>
      <c r="J60" s="2" t="s">
        <v>57</v>
      </c>
    </row>
    <row r="61">
      <c r="A61" s="3">
        <v>88964.0</v>
      </c>
      <c r="B61" s="2" t="s">
        <v>1504</v>
      </c>
      <c r="C61" s="5">
        <v>46087.546168981484</v>
      </c>
      <c r="D61" s="2" t="s">
        <v>1356</v>
      </c>
      <c r="E61" s="2" t="s">
        <v>1505</v>
      </c>
      <c r="F61" s="3">
        <v>8.14323749E9</v>
      </c>
      <c r="G61" s="2" t="s">
        <v>44</v>
      </c>
      <c r="H61" s="2" t="s">
        <v>128</v>
      </c>
      <c r="I61" s="2" t="s">
        <v>127</v>
      </c>
      <c r="J61" s="2" t="s">
        <v>57</v>
      </c>
    </row>
    <row r="62">
      <c r="A62" s="3">
        <v>88965.0</v>
      </c>
      <c r="B62" s="2" t="s">
        <v>1506</v>
      </c>
      <c r="C62" s="5">
        <v>46087.55342592593</v>
      </c>
      <c r="D62" s="2" t="s">
        <v>1363</v>
      </c>
      <c r="E62" s="2" t="s">
        <v>1507</v>
      </c>
      <c r="F62" s="3">
        <v>9.471239059E9</v>
      </c>
      <c r="G62" s="2" t="s">
        <v>44</v>
      </c>
      <c r="H62" s="2" t="s">
        <v>1360</v>
      </c>
      <c r="I62" s="2" t="s">
        <v>1508</v>
      </c>
      <c r="J62" s="2" t="s">
        <v>57</v>
      </c>
    </row>
    <row r="63">
      <c r="A63" s="3">
        <v>88966.0</v>
      </c>
      <c r="B63" s="2" t="s">
        <v>1509</v>
      </c>
      <c r="C63" s="5">
        <v>46087.59421296296</v>
      </c>
      <c r="D63" s="2" t="s">
        <v>1363</v>
      </c>
      <c r="E63" s="2" t="s">
        <v>1510</v>
      </c>
      <c r="F63" s="3">
        <v>9.944623359E9</v>
      </c>
      <c r="G63" s="2" t="s">
        <v>44</v>
      </c>
      <c r="H63" s="2" t="s">
        <v>110</v>
      </c>
      <c r="I63" s="2" t="s">
        <v>191</v>
      </c>
      <c r="J63" s="2" t="s">
        <v>57</v>
      </c>
    </row>
    <row r="64">
      <c r="A64" s="3">
        <v>88967.0</v>
      </c>
      <c r="B64" s="2" t="s">
        <v>1511</v>
      </c>
      <c r="C64" s="5">
        <v>46087.744050925925</v>
      </c>
      <c r="D64" s="2" t="s">
        <v>1356</v>
      </c>
      <c r="E64" s="2" t="s">
        <v>1512</v>
      </c>
      <c r="F64" s="3">
        <v>8.85100409E9</v>
      </c>
      <c r="G64" s="2" t="s">
        <v>44</v>
      </c>
      <c r="H64" s="2" t="s">
        <v>59</v>
      </c>
      <c r="I64" s="2" t="s">
        <v>1513</v>
      </c>
      <c r="J64" s="2" t="s">
        <v>57</v>
      </c>
    </row>
    <row r="65">
      <c r="A65" s="3">
        <v>88968.0</v>
      </c>
      <c r="B65" s="2" t="s">
        <v>1514</v>
      </c>
      <c r="C65" s="5">
        <v>46087.773831018516</v>
      </c>
      <c r="D65" s="2" t="s">
        <v>1356</v>
      </c>
      <c r="E65" s="2" t="s">
        <v>1515</v>
      </c>
      <c r="F65" s="3">
        <v>8.072025024E9</v>
      </c>
      <c r="G65" s="2" t="s">
        <v>44</v>
      </c>
      <c r="H65" s="2" t="s">
        <v>59</v>
      </c>
      <c r="I65" s="2" t="s">
        <v>275</v>
      </c>
      <c r="J65" s="2" t="s">
        <v>57</v>
      </c>
    </row>
    <row r="66">
      <c r="A66" s="3">
        <v>88969.0</v>
      </c>
      <c r="B66" s="2" t="s">
        <v>1516</v>
      </c>
      <c r="C66" s="5">
        <v>46087.81875</v>
      </c>
      <c r="D66" s="2" t="s">
        <v>1356</v>
      </c>
      <c r="E66" s="6"/>
      <c r="F66" s="6"/>
      <c r="G66" s="2" t="s">
        <v>44</v>
      </c>
      <c r="H66" s="2" t="s">
        <v>43</v>
      </c>
      <c r="I66" s="2" t="s">
        <v>1517</v>
      </c>
      <c r="J66" s="2" t="s">
        <v>57</v>
      </c>
    </row>
    <row r="67">
      <c r="A67" s="3">
        <v>88970.0</v>
      </c>
      <c r="B67" s="2" t="s">
        <v>1518</v>
      </c>
      <c r="C67" s="5">
        <v>46087.94483796296</v>
      </c>
      <c r="D67" s="2" t="s">
        <v>1356</v>
      </c>
      <c r="E67" s="2" t="s">
        <v>1519</v>
      </c>
      <c r="F67" s="3">
        <v>7.075902559E9</v>
      </c>
      <c r="G67" s="2" t="s">
        <v>44</v>
      </c>
      <c r="H67" s="2" t="s">
        <v>48</v>
      </c>
      <c r="I67" s="2" t="s">
        <v>1520</v>
      </c>
      <c r="J67" s="2" t="s">
        <v>57</v>
      </c>
    </row>
    <row r="68">
      <c r="A68" s="3">
        <v>88971.0</v>
      </c>
      <c r="B68" s="2" t="s">
        <v>1521</v>
      </c>
      <c r="C68" s="5">
        <v>46087.98517361111</v>
      </c>
      <c r="D68" s="2" t="s">
        <v>1356</v>
      </c>
      <c r="E68" s="2" t="s">
        <v>1522</v>
      </c>
      <c r="F68" s="3">
        <v>9.915898684E9</v>
      </c>
      <c r="G68" s="2" t="s">
        <v>44</v>
      </c>
      <c r="H68" s="2" t="s">
        <v>513</v>
      </c>
      <c r="I68" s="2" t="s">
        <v>1523</v>
      </c>
      <c r="J68" s="2" t="s">
        <v>57</v>
      </c>
    </row>
    <row r="69">
      <c r="A69" s="3">
        <v>88972.0</v>
      </c>
      <c r="B69" s="2" t="s">
        <v>1524</v>
      </c>
      <c r="C69" s="5">
        <v>46088.24553240741</v>
      </c>
      <c r="D69" s="2" t="s">
        <v>1363</v>
      </c>
      <c r="E69" s="2" t="s">
        <v>1525</v>
      </c>
      <c r="F69" s="10">
        <v>1.6608E10</v>
      </c>
      <c r="G69" s="2" t="s">
        <v>1526</v>
      </c>
      <c r="H69" s="2" t="s">
        <v>1527</v>
      </c>
      <c r="I69" s="2" t="s">
        <v>1528</v>
      </c>
      <c r="J69" s="2" t="s">
        <v>57</v>
      </c>
    </row>
    <row r="70">
      <c r="A70" s="3">
        <v>88973.0</v>
      </c>
      <c r="B70" s="2" t="s">
        <v>1529</v>
      </c>
      <c r="C70" s="5">
        <v>46088.36699074074</v>
      </c>
      <c r="D70" s="2" t="s">
        <v>1363</v>
      </c>
      <c r="E70" s="2" t="s">
        <v>1530</v>
      </c>
      <c r="F70" s="3">
        <v>9.90026539E9</v>
      </c>
      <c r="G70" s="2" t="s">
        <v>44</v>
      </c>
      <c r="H70" s="2" t="s">
        <v>43</v>
      </c>
      <c r="I70" s="2" t="s">
        <v>42</v>
      </c>
      <c r="J70" s="2" t="s">
        <v>57</v>
      </c>
    </row>
    <row r="71">
      <c r="A71" s="3">
        <v>88974.0</v>
      </c>
      <c r="B71" s="2" t="s">
        <v>1531</v>
      </c>
      <c r="C71" s="5">
        <v>46088.383414351854</v>
      </c>
      <c r="D71" s="2" t="s">
        <v>1356</v>
      </c>
      <c r="E71" s="2" t="s">
        <v>1532</v>
      </c>
      <c r="F71" s="10">
        <v>1.8574E10</v>
      </c>
      <c r="G71" s="2" t="s">
        <v>533</v>
      </c>
      <c r="H71" s="2" t="s">
        <v>1533</v>
      </c>
      <c r="I71" s="2" t="s">
        <v>1534</v>
      </c>
      <c r="J71" s="2" t="s">
        <v>57</v>
      </c>
    </row>
    <row r="72">
      <c r="A72" s="3">
        <v>88975.0</v>
      </c>
      <c r="B72" s="2" t="s">
        <v>1535</v>
      </c>
      <c r="C72" s="5">
        <v>46088.410219907404</v>
      </c>
      <c r="D72" s="2" t="s">
        <v>1356</v>
      </c>
      <c r="E72" s="2" t="s">
        <v>1536</v>
      </c>
      <c r="F72" s="3">
        <v>9.611709414E9</v>
      </c>
      <c r="G72" s="2" t="s">
        <v>44</v>
      </c>
      <c r="H72" s="2" t="s">
        <v>43</v>
      </c>
      <c r="I72" s="2" t="s">
        <v>174</v>
      </c>
      <c r="J72" s="2" t="s">
        <v>57</v>
      </c>
    </row>
    <row r="73">
      <c r="A73" s="3">
        <v>88976.0</v>
      </c>
      <c r="B73" s="2" t="s">
        <v>1537</v>
      </c>
      <c r="C73" s="5">
        <v>46088.44484953704</v>
      </c>
      <c r="D73" s="2" t="s">
        <v>1356</v>
      </c>
      <c r="E73" s="2" t="s">
        <v>1538</v>
      </c>
      <c r="F73" s="3">
        <v>8.968834527E9</v>
      </c>
      <c r="G73" s="2" t="s">
        <v>1539</v>
      </c>
      <c r="H73" s="2" t="s">
        <v>1540</v>
      </c>
      <c r="I73" s="2" t="s">
        <v>1541</v>
      </c>
      <c r="J73" s="2" t="s">
        <v>57</v>
      </c>
    </row>
    <row r="74">
      <c r="A74" s="3">
        <v>88977.0</v>
      </c>
      <c r="B74" s="2" t="s">
        <v>1542</v>
      </c>
      <c r="C74" s="5">
        <v>46088.488958333335</v>
      </c>
      <c r="D74" s="2" t="s">
        <v>1363</v>
      </c>
      <c r="E74" s="2" t="s">
        <v>1543</v>
      </c>
      <c r="F74" s="3">
        <v>9.3421655E9</v>
      </c>
      <c r="G74" s="2" t="s">
        <v>44</v>
      </c>
      <c r="H74" s="2" t="s">
        <v>110</v>
      </c>
      <c r="I74" s="2" t="s">
        <v>1544</v>
      </c>
      <c r="J74" s="2" t="s">
        <v>57</v>
      </c>
    </row>
    <row r="75">
      <c r="A75" s="3">
        <v>88978.0</v>
      </c>
      <c r="B75" s="2" t="s">
        <v>1545</v>
      </c>
      <c r="C75" s="5">
        <v>46088.50440972222</v>
      </c>
      <c r="D75" s="2" t="s">
        <v>1356</v>
      </c>
      <c r="E75" s="6"/>
      <c r="F75" s="6"/>
      <c r="G75" s="2" t="s">
        <v>44</v>
      </c>
      <c r="H75" s="2" t="s">
        <v>110</v>
      </c>
      <c r="I75" s="2" t="s">
        <v>1546</v>
      </c>
      <c r="J75" s="2" t="s">
        <v>57</v>
      </c>
    </row>
    <row r="76">
      <c r="A76" s="3">
        <v>88979.0</v>
      </c>
      <c r="B76" s="2" t="s">
        <v>1547</v>
      </c>
      <c r="C76" s="5">
        <v>46088.51149305556</v>
      </c>
      <c r="D76" s="2" t="s">
        <v>1356</v>
      </c>
      <c r="E76" s="2" t="s">
        <v>1548</v>
      </c>
      <c r="F76" s="3">
        <v>8.779981668E9</v>
      </c>
      <c r="G76" s="2" t="s">
        <v>44</v>
      </c>
      <c r="H76" s="2" t="s">
        <v>59</v>
      </c>
      <c r="I76" s="2" t="s">
        <v>715</v>
      </c>
      <c r="J76" s="2" t="s">
        <v>57</v>
      </c>
    </row>
    <row r="77">
      <c r="A77" s="3">
        <v>88980.0</v>
      </c>
      <c r="B77" s="2" t="s">
        <v>1549</v>
      </c>
      <c r="C77" s="5">
        <v>46088.56827546296</v>
      </c>
      <c r="D77" s="2" t="s">
        <v>1363</v>
      </c>
      <c r="E77" s="2" t="s">
        <v>1550</v>
      </c>
      <c r="F77" s="3">
        <v>8.867029343E9</v>
      </c>
      <c r="G77" s="2" t="s">
        <v>44</v>
      </c>
      <c r="H77" s="2" t="s">
        <v>43</v>
      </c>
      <c r="I77" s="2" t="s">
        <v>42</v>
      </c>
      <c r="J77" s="2" t="s">
        <v>57</v>
      </c>
    </row>
    <row r="78">
      <c r="A78" s="3">
        <v>88981.0</v>
      </c>
      <c r="B78" s="2" t="s">
        <v>1551</v>
      </c>
      <c r="C78" s="5">
        <v>46088.772731481484</v>
      </c>
      <c r="D78" s="2" t="s">
        <v>1363</v>
      </c>
      <c r="E78" s="2" t="s">
        <v>1552</v>
      </c>
      <c r="F78" s="3">
        <v>9.781817478E9</v>
      </c>
      <c r="G78" s="2" t="s">
        <v>44</v>
      </c>
      <c r="H78" s="2" t="s">
        <v>226</v>
      </c>
      <c r="I78" s="2" t="s">
        <v>1553</v>
      </c>
      <c r="J78" s="2" t="s">
        <v>57</v>
      </c>
    </row>
    <row r="79">
      <c r="A79" s="3">
        <v>88982.0</v>
      </c>
      <c r="B79" s="2" t="s">
        <v>1554</v>
      </c>
      <c r="C79" s="5">
        <v>46088.77967592593</v>
      </c>
      <c r="D79" s="2" t="s">
        <v>1356</v>
      </c>
      <c r="E79" s="2" t="s">
        <v>1555</v>
      </c>
      <c r="F79" s="3">
        <v>6.353621521E9</v>
      </c>
      <c r="G79" s="2" t="s">
        <v>44</v>
      </c>
      <c r="H79" s="2" t="s">
        <v>88</v>
      </c>
      <c r="I79" s="2" t="s">
        <v>204</v>
      </c>
      <c r="J79" s="2" t="s">
        <v>57</v>
      </c>
    </row>
    <row r="80">
      <c r="A80" s="3">
        <v>88983.0</v>
      </c>
      <c r="B80" s="2" t="s">
        <v>1556</v>
      </c>
      <c r="C80" s="5">
        <v>46088.787777777776</v>
      </c>
      <c r="D80" s="2" t="s">
        <v>1363</v>
      </c>
      <c r="E80" s="2" t="s">
        <v>1557</v>
      </c>
      <c r="F80" s="3">
        <v>9.372019145E9</v>
      </c>
      <c r="G80" s="2" t="s">
        <v>44</v>
      </c>
      <c r="H80" s="2" t="s">
        <v>59</v>
      </c>
      <c r="I80" s="2" t="s">
        <v>156</v>
      </c>
      <c r="J80" s="2" t="s">
        <v>57</v>
      </c>
    </row>
    <row r="81">
      <c r="A81" s="3">
        <v>88984.0</v>
      </c>
      <c r="B81" s="2" t="s">
        <v>1558</v>
      </c>
      <c r="C81" s="5">
        <v>46088.84775462963</v>
      </c>
      <c r="D81" s="2" t="s">
        <v>1363</v>
      </c>
      <c r="E81" s="2" t="s">
        <v>1559</v>
      </c>
      <c r="F81" s="3">
        <v>6.205416472E9</v>
      </c>
      <c r="G81" s="2" t="s">
        <v>44</v>
      </c>
      <c r="H81" s="2" t="s">
        <v>1560</v>
      </c>
      <c r="I81" s="2" t="s">
        <v>1561</v>
      </c>
      <c r="J81" s="2" t="s">
        <v>57</v>
      </c>
    </row>
    <row r="82">
      <c r="A82" s="3">
        <v>88985.0</v>
      </c>
      <c r="B82" s="2" t="s">
        <v>1562</v>
      </c>
      <c r="C82" s="5">
        <v>46088.90540509259</v>
      </c>
      <c r="D82" s="2" t="s">
        <v>1363</v>
      </c>
      <c r="E82" s="2" t="s">
        <v>1563</v>
      </c>
      <c r="F82" s="3">
        <v>9.337345215E9</v>
      </c>
      <c r="G82" s="2" t="s">
        <v>44</v>
      </c>
      <c r="H82" s="2" t="s">
        <v>474</v>
      </c>
      <c r="I82" s="2" t="s">
        <v>1564</v>
      </c>
      <c r="J82" s="2" t="s">
        <v>57</v>
      </c>
    </row>
    <row r="83">
      <c r="A83" s="3">
        <v>88986.0</v>
      </c>
      <c r="B83" s="2" t="s">
        <v>1565</v>
      </c>
      <c r="C83" s="5">
        <v>46088.933958333335</v>
      </c>
      <c r="D83" s="2" t="s">
        <v>1356</v>
      </c>
      <c r="E83" s="2" t="s">
        <v>1566</v>
      </c>
      <c r="F83" s="3">
        <v>9.253495536E9</v>
      </c>
      <c r="G83" s="2" t="s">
        <v>44</v>
      </c>
      <c r="H83" s="2" t="s">
        <v>513</v>
      </c>
      <c r="I83" s="2" t="s">
        <v>1567</v>
      </c>
      <c r="J83" s="2" t="s">
        <v>57</v>
      </c>
    </row>
    <row r="84">
      <c r="A84" s="3">
        <v>88987.0</v>
      </c>
      <c r="B84" s="2" t="s">
        <v>1568</v>
      </c>
      <c r="C84" s="5">
        <v>46089.375243055554</v>
      </c>
      <c r="D84" s="2" t="s">
        <v>1363</v>
      </c>
      <c r="E84" s="2" t="s">
        <v>1569</v>
      </c>
      <c r="F84" s="3">
        <v>9.727305903E9</v>
      </c>
      <c r="G84" s="2" t="s">
        <v>533</v>
      </c>
      <c r="H84" s="2" t="s">
        <v>1570</v>
      </c>
      <c r="I84" s="2" t="s">
        <v>1571</v>
      </c>
      <c r="J84" s="2" t="s">
        <v>57</v>
      </c>
    </row>
    <row r="85">
      <c r="A85" s="3">
        <v>88988.0</v>
      </c>
      <c r="B85" s="2" t="s">
        <v>1572</v>
      </c>
      <c r="C85" s="5">
        <v>46089.41207175926</v>
      </c>
      <c r="D85" s="2" t="s">
        <v>1363</v>
      </c>
      <c r="E85" s="2" t="s">
        <v>1573</v>
      </c>
      <c r="F85" s="3">
        <v>6.35173131E9</v>
      </c>
      <c r="G85" s="2" t="s">
        <v>44</v>
      </c>
      <c r="H85" s="2" t="s">
        <v>88</v>
      </c>
      <c r="I85" s="2" t="s">
        <v>204</v>
      </c>
      <c r="J85" s="2" t="s">
        <v>57</v>
      </c>
    </row>
    <row r="86">
      <c r="A86" s="3">
        <v>88989.0</v>
      </c>
      <c r="B86" s="2" t="s">
        <v>1574</v>
      </c>
      <c r="C86" s="5">
        <v>46089.50209490741</v>
      </c>
      <c r="D86" s="2" t="s">
        <v>1356</v>
      </c>
      <c r="E86" s="2" t="s">
        <v>1575</v>
      </c>
      <c r="F86" s="2" t="s">
        <v>1576</v>
      </c>
      <c r="G86" s="2" t="s">
        <v>44</v>
      </c>
      <c r="H86" s="2" t="s">
        <v>1115</v>
      </c>
      <c r="I86" s="2" t="s">
        <v>1577</v>
      </c>
      <c r="J86" s="2" t="s">
        <v>57</v>
      </c>
    </row>
    <row r="87">
      <c r="A87" s="3">
        <v>88990.0</v>
      </c>
      <c r="B87" s="2" t="s">
        <v>1578</v>
      </c>
      <c r="C87" s="5">
        <v>46089.57162037037</v>
      </c>
      <c r="D87" s="2" t="s">
        <v>1363</v>
      </c>
      <c r="E87" s="2" t="s">
        <v>1579</v>
      </c>
      <c r="F87" s="3">
        <v>8.861092125E9</v>
      </c>
      <c r="G87" s="2" t="s">
        <v>44</v>
      </c>
      <c r="H87" s="2" t="s">
        <v>43</v>
      </c>
      <c r="I87" s="2" t="s">
        <v>42</v>
      </c>
      <c r="J87" s="2" t="s">
        <v>57</v>
      </c>
    </row>
    <row r="88">
      <c r="A88" s="3">
        <v>88991.0</v>
      </c>
      <c r="B88" s="2" t="s">
        <v>1580</v>
      </c>
      <c r="C88" s="5">
        <v>46089.63619212963</v>
      </c>
      <c r="D88" s="2" t="s">
        <v>1356</v>
      </c>
      <c r="E88" s="2" t="s">
        <v>1581</v>
      </c>
      <c r="F88" s="3">
        <v>9.868867863E9</v>
      </c>
      <c r="G88" s="2" t="s">
        <v>44</v>
      </c>
      <c r="H88" s="2" t="s">
        <v>121</v>
      </c>
      <c r="I88" s="2" t="s">
        <v>120</v>
      </c>
      <c r="J88" s="2" t="s">
        <v>57</v>
      </c>
    </row>
    <row r="89">
      <c r="A89" s="3">
        <v>88992.0</v>
      </c>
      <c r="B89" s="2" t="s">
        <v>1582</v>
      </c>
      <c r="C89" s="5">
        <v>46089.707349537035</v>
      </c>
      <c r="D89" s="2" t="s">
        <v>1363</v>
      </c>
      <c r="E89" s="2" t="s">
        <v>1583</v>
      </c>
      <c r="F89" s="3">
        <v>9.599958525E9</v>
      </c>
      <c r="G89" s="2" t="s">
        <v>44</v>
      </c>
      <c r="H89" s="2" t="s">
        <v>43</v>
      </c>
      <c r="I89" s="2" t="s">
        <v>42</v>
      </c>
      <c r="J89" s="2" t="s">
        <v>57</v>
      </c>
    </row>
    <row r="90">
      <c r="A90" s="3">
        <v>88993.0</v>
      </c>
      <c r="B90" s="2" t="s">
        <v>1584</v>
      </c>
      <c r="C90" s="5">
        <v>46089.80201388889</v>
      </c>
      <c r="D90" s="2" t="s">
        <v>1356</v>
      </c>
      <c r="E90" s="2" t="s">
        <v>1585</v>
      </c>
      <c r="F90" s="3">
        <v>9.952122766E9</v>
      </c>
      <c r="G90" s="2" t="s">
        <v>44</v>
      </c>
      <c r="H90" s="2" t="s">
        <v>110</v>
      </c>
      <c r="I90" s="2" t="s">
        <v>1586</v>
      </c>
      <c r="J90" s="2" t="s">
        <v>57</v>
      </c>
    </row>
    <row r="91">
      <c r="A91" s="3">
        <v>88994.0</v>
      </c>
      <c r="B91" s="2" t="s">
        <v>1587</v>
      </c>
      <c r="C91" s="5">
        <v>46089.971770833334</v>
      </c>
      <c r="D91" s="2" t="s">
        <v>1356</v>
      </c>
      <c r="E91" s="2" t="s">
        <v>1588</v>
      </c>
      <c r="F91" s="3">
        <v>7.305069604E9</v>
      </c>
      <c r="G91" s="2" t="s">
        <v>533</v>
      </c>
      <c r="H91" s="2" t="s">
        <v>1533</v>
      </c>
      <c r="I91" s="2" t="s">
        <v>1534</v>
      </c>
      <c r="J91" s="2" t="s">
        <v>57</v>
      </c>
    </row>
    <row r="92">
      <c r="A92" s="3">
        <v>88995.0</v>
      </c>
      <c r="B92" s="2" t="s">
        <v>1589</v>
      </c>
      <c r="C92" s="5">
        <v>46089.99371527778</v>
      </c>
      <c r="D92" s="2" t="s">
        <v>1356</v>
      </c>
      <c r="E92" s="2" t="s">
        <v>1590</v>
      </c>
      <c r="F92" s="3">
        <v>8.837342809E9</v>
      </c>
      <c r="G92" s="2" t="s">
        <v>44</v>
      </c>
      <c r="H92" s="2" t="s">
        <v>220</v>
      </c>
      <c r="I92" s="2" t="s">
        <v>1591</v>
      </c>
      <c r="J92" s="2" t="s">
        <v>57</v>
      </c>
    </row>
    <row r="93">
      <c r="A93" s="3">
        <v>88996.0</v>
      </c>
      <c r="B93" s="2" t="s">
        <v>1592</v>
      </c>
      <c r="C93" s="5">
        <v>46090.158738425926</v>
      </c>
      <c r="D93" s="2" t="s">
        <v>1363</v>
      </c>
      <c r="E93" s="2" t="s">
        <v>1593</v>
      </c>
      <c r="F93" s="3">
        <v>8.906461455E9</v>
      </c>
      <c r="G93" s="2" t="s">
        <v>44</v>
      </c>
      <c r="H93" s="2" t="s">
        <v>220</v>
      </c>
      <c r="I93" s="2" t="s">
        <v>1594</v>
      </c>
      <c r="J93" s="2" t="s">
        <v>57</v>
      </c>
    </row>
    <row r="94">
      <c r="A94" s="3">
        <v>88997.0</v>
      </c>
      <c r="B94" s="2" t="s">
        <v>1595</v>
      </c>
      <c r="C94" s="5">
        <v>46090.23165509259</v>
      </c>
      <c r="D94" s="2" t="s">
        <v>1356</v>
      </c>
      <c r="E94" s="2" t="s">
        <v>1596</v>
      </c>
      <c r="F94" s="3">
        <v>8.810488732E9</v>
      </c>
      <c r="G94" s="2" t="s">
        <v>1597</v>
      </c>
      <c r="H94" s="2" t="s">
        <v>1598</v>
      </c>
      <c r="I94" s="2" t="s">
        <v>1598</v>
      </c>
      <c r="J94" s="2" t="s">
        <v>57</v>
      </c>
    </row>
    <row r="95">
      <c r="A95" s="3">
        <v>88998.0</v>
      </c>
      <c r="B95" s="2" t="s">
        <v>1599</v>
      </c>
      <c r="C95" s="5">
        <v>46090.331296296295</v>
      </c>
      <c r="D95" s="2" t="s">
        <v>1356</v>
      </c>
      <c r="E95" s="2" t="s">
        <v>1600</v>
      </c>
      <c r="F95" s="10">
        <v>-4.808E9</v>
      </c>
      <c r="G95" s="2" t="s">
        <v>533</v>
      </c>
      <c r="H95" s="2" t="s">
        <v>532</v>
      </c>
      <c r="I95" s="2" t="s">
        <v>1009</v>
      </c>
      <c r="J95" s="2" t="s">
        <v>57</v>
      </c>
    </row>
    <row r="96">
      <c r="A96" s="3">
        <v>88999.0</v>
      </c>
      <c r="B96" s="2" t="s">
        <v>1601</v>
      </c>
      <c r="C96" s="5">
        <v>46090.37584490741</v>
      </c>
      <c r="D96" s="2" t="s">
        <v>1363</v>
      </c>
      <c r="E96" s="2" t="s">
        <v>1602</v>
      </c>
      <c r="F96" s="3">
        <v>2.264489946E9</v>
      </c>
      <c r="G96" s="2" t="s">
        <v>1539</v>
      </c>
      <c r="H96" s="2" t="s">
        <v>1540</v>
      </c>
      <c r="I96" s="2" t="s">
        <v>1158</v>
      </c>
      <c r="J96" s="2" t="s">
        <v>57</v>
      </c>
    </row>
    <row r="97">
      <c r="A97" s="3">
        <v>89000.0</v>
      </c>
      <c r="B97" s="2" t="s">
        <v>1603</v>
      </c>
      <c r="C97" s="5">
        <v>46090.472453703704</v>
      </c>
      <c r="D97" s="2" t="s">
        <v>1356</v>
      </c>
      <c r="E97" s="2" t="s">
        <v>1604</v>
      </c>
      <c r="F97" s="3">
        <v>9.884270039E9</v>
      </c>
      <c r="G97" s="2" t="s">
        <v>44</v>
      </c>
      <c r="H97" s="2" t="s">
        <v>110</v>
      </c>
      <c r="I97" s="2" t="s">
        <v>191</v>
      </c>
      <c r="J97" s="2" t="s">
        <v>57</v>
      </c>
    </row>
    <row r="98">
      <c r="A98" s="3">
        <v>89001.0</v>
      </c>
      <c r="B98" s="2" t="s">
        <v>1605</v>
      </c>
      <c r="C98" s="5">
        <v>46090.56564814815</v>
      </c>
      <c r="D98" s="2" t="s">
        <v>1356</v>
      </c>
      <c r="E98" s="2" t="s">
        <v>1606</v>
      </c>
      <c r="F98" s="3">
        <v>7.008676101E9</v>
      </c>
      <c r="G98" s="2" t="s">
        <v>44</v>
      </c>
      <c r="H98" s="2" t="s">
        <v>1115</v>
      </c>
      <c r="I98" s="2" t="s">
        <v>1114</v>
      </c>
      <c r="J98" s="2" t="s">
        <v>57</v>
      </c>
    </row>
    <row r="99">
      <c r="A99" s="3">
        <v>89002.0</v>
      </c>
      <c r="B99" s="2" t="s">
        <v>1607</v>
      </c>
      <c r="C99" s="5">
        <v>46090.59978009259</v>
      </c>
      <c r="D99" s="2" t="s">
        <v>1356</v>
      </c>
      <c r="E99" s="2" t="s">
        <v>1608</v>
      </c>
      <c r="F99" s="3">
        <v>9.663490511E9</v>
      </c>
      <c r="G99" s="2" t="s">
        <v>44</v>
      </c>
      <c r="H99" s="2" t="s">
        <v>65</v>
      </c>
      <c r="I99" s="2" t="s">
        <v>1609</v>
      </c>
      <c r="J99" s="2" t="s">
        <v>57</v>
      </c>
    </row>
    <row r="100">
      <c r="A100" s="3">
        <v>89003.0</v>
      </c>
      <c r="B100" s="2" t="s">
        <v>1610</v>
      </c>
      <c r="C100" s="5">
        <v>46090.75305555556</v>
      </c>
      <c r="D100" s="2" t="s">
        <v>1363</v>
      </c>
      <c r="E100" s="2" t="s">
        <v>1611</v>
      </c>
      <c r="F100" s="3">
        <v>6.597925945E9</v>
      </c>
      <c r="G100" s="2" t="s">
        <v>597</v>
      </c>
      <c r="H100" s="2" t="s">
        <v>597</v>
      </c>
      <c r="I100" s="2" t="s">
        <v>597</v>
      </c>
      <c r="J100" s="2" t="s">
        <v>57</v>
      </c>
    </row>
    <row r="101">
      <c r="A101" s="3">
        <v>89004.0</v>
      </c>
      <c r="B101" s="2" t="s">
        <v>1612</v>
      </c>
      <c r="C101" s="5">
        <v>46090.798055555555</v>
      </c>
      <c r="D101" s="2" t="s">
        <v>1363</v>
      </c>
      <c r="E101" s="2" t="s">
        <v>1613</v>
      </c>
      <c r="F101" s="3">
        <v>7.88029827E9</v>
      </c>
      <c r="G101" s="2" t="s">
        <v>44</v>
      </c>
      <c r="H101" s="2" t="s">
        <v>286</v>
      </c>
      <c r="I101" s="2" t="s">
        <v>848</v>
      </c>
      <c r="J101" s="2" t="s">
        <v>57</v>
      </c>
    </row>
    <row r="102">
      <c r="A102" s="3">
        <v>89005.0</v>
      </c>
      <c r="B102" s="2" t="s">
        <v>1614</v>
      </c>
      <c r="C102" s="5">
        <v>46090.82996527778</v>
      </c>
      <c r="D102" s="2" t="s">
        <v>1356</v>
      </c>
      <c r="E102" s="2" t="s">
        <v>1615</v>
      </c>
      <c r="F102" s="3">
        <v>9.323733508E9</v>
      </c>
      <c r="G102" s="2" t="s">
        <v>44</v>
      </c>
      <c r="H102" s="2" t="s">
        <v>59</v>
      </c>
      <c r="I102" s="2" t="s">
        <v>275</v>
      </c>
      <c r="J102" s="2" t="s">
        <v>57</v>
      </c>
    </row>
    <row r="103">
      <c r="A103" s="3">
        <v>89006.0</v>
      </c>
      <c r="B103" s="2" t="s">
        <v>1616</v>
      </c>
      <c r="C103" s="5">
        <v>46090.865</v>
      </c>
      <c r="D103" s="2" t="s">
        <v>1356</v>
      </c>
      <c r="E103" s="2" t="s">
        <v>1617</v>
      </c>
      <c r="F103" s="3">
        <v>9.14917227E9</v>
      </c>
      <c r="G103" s="2" t="s">
        <v>44</v>
      </c>
      <c r="H103" s="2" t="s">
        <v>1560</v>
      </c>
      <c r="I103" s="2" t="s">
        <v>1618</v>
      </c>
      <c r="J103" s="2" t="s">
        <v>57</v>
      </c>
    </row>
    <row r="104">
      <c r="A104" s="3">
        <v>89007.0</v>
      </c>
      <c r="B104" s="2" t="s">
        <v>1619</v>
      </c>
      <c r="C104" s="5">
        <v>46090.875706018516</v>
      </c>
      <c r="D104" s="2" t="s">
        <v>1363</v>
      </c>
      <c r="E104" s="2" t="s">
        <v>1620</v>
      </c>
      <c r="F104" s="2" t="s">
        <v>1621</v>
      </c>
      <c r="G104" s="2" t="s">
        <v>44</v>
      </c>
      <c r="H104" s="2" t="s">
        <v>65</v>
      </c>
      <c r="I104" s="2" t="s">
        <v>1462</v>
      </c>
      <c r="J104" s="2" t="s">
        <v>57</v>
      </c>
    </row>
    <row r="105">
      <c r="A105" s="3">
        <v>89008.0</v>
      </c>
      <c r="B105" s="2" t="s">
        <v>1622</v>
      </c>
      <c r="C105" s="5">
        <v>46090.897361111114</v>
      </c>
      <c r="D105" s="2" t="s">
        <v>1356</v>
      </c>
      <c r="E105" s="2" t="s">
        <v>1623</v>
      </c>
      <c r="F105" s="3">
        <v>9.386969887E9</v>
      </c>
      <c r="G105" s="2" t="s">
        <v>44</v>
      </c>
      <c r="H105" s="2" t="s">
        <v>1360</v>
      </c>
      <c r="I105" s="2" t="s">
        <v>1624</v>
      </c>
      <c r="J105" s="2" t="s">
        <v>57</v>
      </c>
    </row>
    <row r="106">
      <c r="A106" s="3">
        <v>89009.0</v>
      </c>
      <c r="B106" s="2" t="s">
        <v>1625</v>
      </c>
      <c r="C106" s="5">
        <v>46090.89917824074</v>
      </c>
      <c r="D106" s="2" t="s">
        <v>1363</v>
      </c>
      <c r="E106" s="2" t="s">
        <v>1626</v>
      </c>
      <c r="F106" s="3">
        <v>9.310051774E9</v>
      </c>
      <c r="G106" s="2" t="s">
        <v>44</v>
      </c>
      <c r="H106" s="2" t="s">
        <v>513</v>
      </c>
      <c r="I106" s="2" t="s">
        <v>1627</v>
      </c>
      <c r="J106" s="2" t="s">
        <v>57</v>
      </c>
    </row>
    <row r="107">
      <c r="A107" s="3">
        <v>89010.0</v>
      </c>
      <c r="B107" s="2" t="s">
        <v>1628</v>
      </c>
      <c r="C107" s="5">
        <v>46090.91181712963</v>
      </c>
      <c r="D107" s="2" t="s">
        <v>1356</v>
      </c>
      <c r="E107" s="2" t="s">
        <v>1629</v>
      </c>
      <c r="F107" s="3">
        <v>9.058449413E9</v>
      </c>
      <c r="G107" s="2" t="s">
        <v>44</v>
      </c>
      <c r="H107" s="2" t="s">
        <v>65</v>
      </c>
      <c r="I107" s="2" t="s">
        <v>1462</v>
      </c>
      <c r="J107" s="2" t="s">
        <v>57</v>
      </c>
    </row>
    <row r="108">
      <c r="A108" s="3">
        <v>89011.0</v>
      </c>
      <c r="B108" s="2" t="s">
        <v>1630</v>
      </c>
      <c r="C108" s="5">
        <v>46090.94149305556</v>
      </c>
      <c r="D108" s="2" t="s">
        <v>1356</v>
      </c>
      <c r="E108" s="2" t="s">
        <v>1631</v>
      </c>
      <c r="F108" s="3">
        <v>7.217205285E9</v>
      </c>
      <c r="G108" s="2" t="s">
        <v>44</v>
      </c>
      <c r="H108" s="2" t="s">
        <v>65</v>
      </c>
      <c r="I108" s="2" t="s">
        <v>1462</v>
      </c>
      <c r="J108" s="2" t="s">
        <v>57</v>
      </c>
    </row>
    <row r="109">
      <c r="A109" s="3">
        <v>89012.0</v>
      </c>
      <c r="B109" s="2" t="s">
        <v>1632</v>
      </c>
      <c r="C109" s="5">
        <v>46090.969988425924</v>
      </c>
      <c r="D109" s="5"/>
      <c r="E109" s="2" t="s">
        <v>1633</v>
      </c>
      <c r="F109" s="3">
        <v>8.976182153E9</v>
      </c>
      <c r="G109" s="6"/>
      <c r="H109" s="6"/>
      <c r="I109" s="6"/>
      <c r="J109" s="2" t="s">
        <v>1634</v>
      </c>
      <c r="K109" s="6"/>
    </row>
    <row r="110">
      <c r="A110" s="3">
        <v>89013.0</v>
      </c>
      <c r="B110" s="2" t="s">
        <v>1635</v>
      </c>
      <c r="C110" s="5">
        <v>46091.102789351855</v>
      </c>
      <c r="D110" s="2" t="s">
        <v>1356</v>
      </c>
      <c r="E110" s="2" t="s">
        <v>1636</v>
      </c>
      <c r="F110" s="10">
        <v>6.149E10</v>
      </c>
      <c r="G110" s="2" t="s">
        <v>881</v>
      </c>
      <c r="H110" s="2" t="s">
        <v>1637</v>
      </c>
      <c r="I110" s="2" t="s">
        <v>1638</v>
      </c>
      <c r="J110" s="2" t="s">
        <v>57</v>
      </c>
    </row>
    <row r="111">
      <c r="A111" s="3">
        <v>89014.0</v>
      </c>
      <c r="B111" s="2" t="s">
        <v>1639</v>
      </c>
      <c r="C111" s="5">
        <v>46091.14934027778</v>
      </c>
      <c r="D111" s="2" t="s">
        <v>1363</v>
      </c>
      <c r="E111" s="2" t="s">
        <v>1640</v>
      </c>
      <c r="F111" s="3">
        <v>8.527108695E9</v>
      </c>
      <c r="G111" s="2" t="s">
        <v>44</v>
      </c>
      <c r="H111" s="2" t="s">
        <v>43</v>
      </c>
      <c r="I111" s="2" t="s">
        <v>42</v>
      </c>
      <c r="J111" s="2" t="s">
        <v>57</v>
      </c>
    </row>
    <row r="112">
      <c r="A112" s="3">
        <v>89015.0</v>
      </c>
      <c r="B112" s="2" t="s">
        <v>1641</v>
      </c>
      <c r="C112" s="5">
        <v>46091.25578703704</v>
      </c>
      <c r="D112" s="2" t="s">
        <v>1356</v>
      </c>
      <c r="E112" s="2" t="s">
        <v>1642</v>
      </c>
      <c r="F112" s="3">
        <v>8.06470007E9</v>
      </c>
      <c r="G112" s="2" t="s">
        <v>533</v>
      </c>
      <c r="H112" s="2" t="s">
        <v>1570</v>
      </c>
      <c r="I112" s="2" t="s">
        <v>1643</v>
      </c>
      <c r="J112" s="2" t="s">
        <v>57</v>
      </c>
    </row>
    <row r="113">
      <c r="A113" s="3">
        <v>89016.0</v>
      </c>
      <c r="B113" s="2" t="s">
        <v>1644</v>
      </c>
      <c r="C113" s="5">
        <v>46091.32020833333</v>
      </c>
      <c r="D113" s="2" t="s">
        <v>1356</v>
      </c>
      <c r="E113" s="2" t="s">
        <v>1645</v>
      </c>
      <c r="F113" s="3">
        <v>2.017059112E9</v>
      </c>
      <c r="G113" s="2" t="s">
        <v>533</v>
      </c>
      <c r="H113" s="2" t="s">
        <v>1384</v>
      </c>
      <c r="I113" s="2" t="s">
        <v>1646</v>
      </c>
      <c r="J113" s="2" t="s">
        <v>57</v>
      </c>
    </row>
    <row r="114">
      <c r="A114" s="3">
        <v>89017.0</v>
      </c>
      <c r="B114" s="2" t="s">
        <v>1647</v>
      </c>
      <c r="C114" s="5">
        <v>46091.40466435185</v>
      </c>
      <c r="D114" s="2" t="s">
        <v>1363</v>
      </c>
      <c r="E114" s="2" t="s">
        <v>1648</v>
      </c>
      <c r="F114" s="3">
        <v>7.572060661E9</v>
      </c>
      <c r="G114" s="2" t="s">
        <v>44</v>
      </c>
      <c r="H114" s="2" t="s">
        <v>65</v>
      </c>
      <c r="I114" s="2" t="s">
        <v>1649</v>
      </c>
      <c r="J114" s="2" t="s">
        <v>57</v>
      </c>
    </row>
    <row r="115">
      <c r="A115" s="3">
        <v>89018.0</v>
      </c>
      <c r="B115" s="2" t="s">
        <v>1650</v>
      </c>
      <c r="C115" s="5">
        <v>46091.45365740741</v>
      </c>
      <c r="D115" s="2" t="s">
        <v>1356</v>
      </c>
      <c r="E115" s="2" t="s">
        <v>1651</v>
      </c>
      <c r="F115" s="3">
        <v>9.477343389E9</v>
      </c>
      <c r="G115" s="2" t="s">
        <v>44</v>
      </c>
      <c r="H115" s="2" t="s">
        <v>121</v>
      </c>
      <c r="I115" s="2" t="s">
        <v>120</v>
      </c>
      <c r="J115" s="2" t="s">
        <v>57</v>
      </c>
    </row>
    <row r="116">
      <c r="A116" s="3">
        <v>89019.0</v>
      </c>
      <c r="B116" s="2" t="s">
        <v>1652</v>
      </c>
      <c r="C116" s="5">
        <v>46091.48818287037</v>
      </c>
      <c r="D116" s="2" t="s">
        <v>1356</v>
      </c>
      <c r="E116" s="2" t="s">
        <v>1653</v>
      </c>
      <c r="F116" s="3">
        <v>9.766655503E9</v>
      </c>
      <c r="G116" s="2" t="s">
        <v>44</v>
      </c>
      <c r="H116" s="2" t="s">
        <v>59</v>
      </c>
      <c r="I116" s="2" t="s">
        <v>275</v>
      </c>
      <c r="J116" s="2" t="s">
        <v>57</v>
      </c>
    </row>
    <row r="117">
      <c r="A117" s="3">
        <v>89020.0</v>
      </c>
      <c r="B117" s="2" t="s">
        <v>1654</v>
      </c>
      <c r="C117" s="5">
        <v>46091.53275462963</v>
      </c>
      <c r="D117" s="2" t="s">
        <v>1356</v>
      </c>
      <c r="E117" s="2" t="s">
        <v>1655</v>
      </c>
      <c r="F117" s="3">
        <v>9.739850841E9</v>
      </c>
      <c r="G117" s="2" t="s">
        <v>44</v>
      </c>
      <c r="H117" s="2" t="s">
        <v>43</v>
      </c>
      <c r="I117" s="2" t="s">
        <v>1118</v>
      </c>
      <c r="J117" s="2" t="s">
        <v>57</v>
      </c>
    </row>
    <row r="118">
      <c r="A118" s="3">
        <v>89021.0</v>
      </c>
      <c r="B118" s="2" t="s">
        <v>1656</v>
      </c>
      <c r="C118" s="5">
        <v>46091.61054398148</v>
      </c>
      <c r="D118" s="2" t="s">
        <v>1356</v>
      </c>
      <c r="E118" s="2" t="s">
        <v>1657</v>
      </c>
      <c r="F118" s="3">
        <v>9.957836978E9</v>
      </c>
      <c r="G118" s="2" t="s">
        <v>44</v>
      </c>
      <c r="H118" s="2" t="s">
        <v>121</v>
      </c>
      <c r="I118" s="2" t="s">
        <v>120</v>
      </c>
      <c r="J118" s="2" t="s">
        <v>57</v>
      </c>
    </row>
    <row r="119">
      <c r="A119" s="3">
        <v>89022.0</v>
      </c>
      <c r="B119" s="2" t="s">
        <v>1658</v>
      </c>
      <c r="C119" s="5">
        <v>46091.67340277778</v>
      </c>
      <c r="D119" s="2" t="s">
        <v>1356</v>
      </c>
      <c r="E119" s="2" t="s">
        <v>1659</v>
      </c>
      <c r="F119" s="3">
        <v>8.903464065E9</v>
      </c>
      <c r="G119" s="2" t="s">
        <v>44</v>
      </c>
      <c r="H119" s="2" t="s">
        <v>110</v>
      </c>
      <c r="I119" s="2" t="s">
        <v>191</v>
      </c>
      <c r="J119" s="2" t="s">
        <v>57</v>
      </c>
    </row>
    <row r="120">
      <c r="A120" s="3">
        <v>89023.0</v>
      </c>
      <c r="B120" s="2" t="s">
        <v>1660</v>
      </c>
      <c r="C120" s="5">
        <v>46091.73751157407</v>
      </c>
      <c r="D120" s="2" t="s">
        <v>1356</v>
      </c>
      <c r="E120" s="2" t="s">
        <v>1661</v>
      </c>
      <c r="F120" s="3">
        <v>6.398961669E9</v>
      </c>
      <c r="G120" s="2" t="s">
        <v>44</v>
      </c>
      <c r="H120" s="2" t="s">
        <v>121</v>
      </c>
      <c r="I120" s="2" t="s">
        <v>120</v>
      </c>
      <c r="J120" s="2" t="s">
        <v>57</v>
      </c>
    </row>
    <row r="121">
      <c r="A121" s="3">
        <v>89024.0</v>
      </c>
      <c r="B121" s="2" t="s">
        <v>1662</v>
      </c>
      <c r="C121" s="5">
        <v>46091.752962962964</v>
      </c>
      <c r="D121" s="2" t="s">
        <v>1356</v>
      </c>
      <c r="E121" s="2" t="s">
        <v>1663</v>
      </c>
      <c r="F121" s="10">
        <v>9.1956E11</v>
      </c>
      <c r="G121" s="2" t="s">
        <v>1664</v>
      </c>
      <c r="H121" s="2" t="s">
        <v>1665</v>
      </c>
      <c r="I121" s="2" t="s">
        <v>1665</v>
      </c>
      <c r="J121" s="2" t="s">
        <v>57</v>
      </c>
    </row>
    <row r="122">
      <c r="A122" s="3">
        <v>89025.0</v>
      </c>
      <c r="B122" s="2" t="s">
        <v>1666</v>
      </c>
      <c r="C122" s="5">
        <v>46091.89728009259</v>
      </c>
      <c r="D122" s="2" t="s">
        <v>1363</v>
      </c>
      <c r="E122" s="2" t="s">
        <v>1667</v>
      </c>
      <c r="F122" s="3">
        <v>9.470148301E9</v>
      </c>
      <c r="G122" s="2" t="s">
        <v>44</v>
      </c>
      <c r="H122" s="2" t="s">
        <v>474</v>
      </c>
      <c r="I122" s="2" t="s">
        <v>1668</v>
      </c>
      <c r="J122" s="2" t="s">
        <v>57</v>
      </c>
    </row>
    <row r="123">
      <c r="A123" s="3">
        <v>89026.0</v>
      </c>
      <c r="B123" s="2" t="s">
        <v>1669</v>
      </c>
      <c r="C123" s="5">
        <v>46091.946377314816</v>
      </c>
      <c r="D123" s="2" t="s">
        <v>1356</v>
      </c>
      <c r="E123" s="2" t="s">
        <v>1670</v>
      </c>
      <c r="F123" s="3">
        <v>6.30276611E9</v>
      </c>
      <c r="G123" s="2" t="s">
        <v>44</v>
      </c>
      <c r="H123" s="2" t="s">
        <v>128</v>
      </c>
      <c r="I123" s="2" t="s">
        <v>127</v>
      </c>
      <c r="J123" s="2" t="s">
        <v>57</v>
      </c>
    </row>
    <row r="124">
      <c r="A124" s="3">
        <v>89027.0</v>
      </c>
      <c r="B124" s="2" t="s">
        <v>1671</v>
      </c>
      <c r="C124" s="5">
        <v>46091.98908564815</v>
      </c>
      <c r="D124" s="2" t="s">
        <v>1363</v>
      </c>
      <c r="E124" s="2" t="s">
        <v>1672</v>
      </c>
      <c r="F124" s="3">
        <v>9.820678088E9</v>
      </c>
      <c r="G124" s="2" t="s">
        <v>44</v>
      </c>
      <c r="H124" s="2" t="s">
        <v>59</v>
      </c>
      <c r="I124" s="2" t="s">
        <v>156</v>
      </c>
      <c r="J124" s="2" t="s">
        <v>57</v>
      </c>
    </row>
    <row r="125">
      <c r="A125" s="3">
        <v>89028.0</v>
      </c>
      <c r="B125" s="2" t="s">
        <v>1673</v>
      </c>
      <c r="C125" s="5">
        <v>46092.099953703706</v>
      </c>
      <c r="D125" s="2" t="s">
        <v>1356</v>
      </c>
      <c r="E125" s="2" t="s">
        <v>1674</v>
      </c>
      <c r="F125" s="3">
        <v>5.85467078E8</v>
      </c>
      <c r="G125" s="2" t="s">
        <v>412</v>
      </c>
      <c r="H125" s="2" t="s">
        <v>411</v>
      </c>
      <c r="I125" s="2" t="s">
        <v>411</v>
      </c>
      <c r="J125" s="6"/>
      <c r="K125" s="6"/>
    </row>
    <row r="126">
      <c r="A126" s="3">
        <v>89029.0</v>
      </c>
      <c r="B126" s="2" t="s">
        <v>1675</v>
      </c>
      <c r="C126" s="5">
        <v>46092.410891203705</v>
      </c>
      <c r="D126" s="2" t="s">
        <v>1356</v>
      </c>
      <c r="E126" s="2" t="s">
        <v>1676</v>
      </c>
      <c r="F126" s="10">
        <v>1.7346E10</v>
      </c>
      <c r="G126" s="2" t="s">
        <v>533</v>
      </c>
      <c r="H126" s="2" t="s">
        <v>1677</v>
      </c>
      <c r="I126" s="2" t="s">
        <v>1678</v>
      </c>
      <c r="J126" s="2" t="s">
        <v>57</v>
      </c>
    </row>
    <row r="127">
      <c r="A127" s="3">
        <v>89030.0</v>
      </c>
      <c r="B127" s="2" t="s">
        <v>1679</v>
      </c>
      <c r="C127" s="5">
        <v>46092.517696759256</v>
      </c>
      <c r="D127" s="2" t="s">
        <v>1356</v>
      </c>
      <c r="E127" s="2" t="s">
        <v>1680</v>
      </c>
      <c r="F127" s="10">
        <v>1.2063E10</v>
      </c>
      <c r="G127" s="2" t="s">
        <v>533</v>
      </c>
      <c r="H127" s="2" t="s">
        <v>1498</v>
      </c>
      <c r="I127" s="2" t="s">
        <v>1681</v>
      </c>
      <c r="J127" s="2" t="s">
        <v>57</v>
      </c>
    </row>
    <row r="128">
      <c r="A128" s="3">
        <v>89031.0</v>
      </c>
      <c r="B128" s="2" t="s">
        <v>1682</v>
      </c>
      <c r="C128" s="5">
        <v>46092.62944444444</v>
      </c>
      <c r="D128" s="2" t="s">
        <v>1356</v>
      </c>
      <c r="E128" s="2" t="s">
        <v>1683</v>
      </c>
      <c r="F128" s="3">
        <v>6.207614328E9</v>
      </c>
      <c r="G128" s="2" t="s">
        <v>44</v>
      </c>
      <c r="H128" s="2" t="s">
        <v>1360</v>
      </c>
      <c r="I128" s="2" t="s">
        <v>1624</v>
      </c>
      <c r="J128" s="2" t="s">
        <v>57</v>
      </c>
    </row>
    <row r="129">
      <c r="A129" s="3">
        <v>89032.0</v>
      </c>
      <c r="B129" s="2" t="s">
        <v>1684</v>
      </c>
      <c r="C129" s="5">
        <v>46092.65880787037</v>
      </c>
      <c r="D129" s="2" t="s">
        <v>1356</v>
      </c>
      <c r="E129" s="2" t="s">
        <v>1685</v>
      </c>
      <c r="F129" s="3">
        <v>8.905833221E9</v>
      </c>
      <c r="G129" s="2" t="s">
        <v>44</v>
      </c>
      <c r="H129" s="2" t="s">
        <v>88</v>
      </c>
      <c r="I129" s="2" t="s">
        <v>938</v>
      </c>
      <c r="J129" s="2" t="s">
        <v>57</v>
      </c>
    </row>
    <row r="130">
      <c r="A130" s="3">
        <v>89033.0</v>
      </c>
      <c r="B130" s="2" t="s">
        <v>1686</v>
      </c>
      <c r="C130" s="5">
        <v>46092.664513888885</v>
      </c>
      <c r="D130" s="2" t="s">
        <v>1356</v>
      </c>
      <c r="E130" s="2" t="s">
        <v>1687</v>
      </c>
      <c r="F130" s="3">
        <v>7.905785692E9</v>
      </c>
      <c r="G130" s="2" t="s">
        <v>44</v>
      </c>
      <c r="H130" s="2" t="s">
        <v>121</v>
      </c>
      <c r="I130" s="2" t="s">
        <v>120</v>
      </c>
      <c r="J130" s="2" t="s">
        <v>57</v>
      </c>
    </row>
    <row r="131">
      <c r="A131" s="3">
        <v>89034.0</v>
      </c>
      <c r="B131" s="2" t="s">
        <v>1688</v>
      </c>
      <c r="C131" s="5">
        <v>46092.73238425926</v>
      </c>
      <c r="D131" s="2" t="s">
        <v>1356</v>
      </c>
      <c r="E131" s="2" t="s">
        <v>1689</v>
      </c>
      <c r="F131" s="3">
        <v>9.861998708E9</v>
      </c>
      <c r="G131" s="2" t="s">
        <v>44</v>
      </c>
      <c r="H131" s="2" t="s">
        <v>474</v>
      </c>
      <c r="I131" s="2" t="s">
        <v>1690</v>
      </c>
      <c r="J131" s="2" t="s">
        <v>57</v>
      </c>
    </row>
    <row r="132">
      <c r="A132" s="3">
        <v>89035.0</v>
      </c>
      <c r="B132" s="2" t="s">
        <v>1691</v>
      </c>
      <c r="C132" s="5">
        <v>46092.8768287037</v>
      </c>
      <c r="D132" s="2" t="s">
        <v>1356</v>
      </c>
      <c r="E132" s="2" t="s">
        <v>1692</v>
      </c>
      <c r="F132" s="2" t="s">
        <v>1693</v>
      </c>
      <c r="G132" s="2" t="s">
        <v>44</v>
      </c>
      <c r="H132" s="2" t="s">
        <v>286</v>
      </c>
      <c r="I132" s="2" t="s">
        <v>285</v>
      </c>
      <c r="J132" s="2" t="s">
        <v>57</v>
      </c>
    </row>
    <row r="133">
      <c r="A133" s="3">
        <v>89036.0</v>
      </c>
      <c r="B133" s="2" t="s">
        <v>1694</v>
      </c>
      <c r="C133" s="5">
        <v>46093.11241898148</v>
      </c>
      <c r="D133" s="2" t="s">
        <v>1356</v>
      </c>
      <c r="E133" s="2" t="s">
        <v>1695</v>
      </c>
      <c r="F133" s="10">
        <v>3.4686E10</v>
      </c>
      <c r="G133" s="2" t="s">
        <v>1696</v>
      </c>
      <c r="H133" s="2" t="s">
        <v>1697</v>
      </c>
      <c r="I133" s="2" t="s">
        <v>1698</v>
      </c>
      <c r="J133" s="2" t="s">
        <v>57</v>
      </c>
    </row>
    <row r="134">
      <c r="A134" s="3">
        <v>89037.0</v>
      </c>
      <c r="B134" s="2" t="s">
        <v>1699</v>
      </c>
      <c r="C134" s="5">
        <v>46093.15834490741</v>
      </c>
      <c r="D134" s="2" t="s">
        <v>1356</v>
      </c>
      <c r="E134" s="2" t="s">
        <v>1700</v>
      </c>
      <c r="F134" s="3">
        <v>8.602433365E9</v>
      </c>
      <c r="G134" s="2" t="s">
        <v>1431</v>
      </c>
      <c r="H134" s="2" t="s">
        <v>1701</v>
      </c>
      <c r="I134" s="2" t="s">
        <v>1702</v>
      </c>
      <c r="J134" s="2" t="s">
        <v>57</v>
      </c>
    </row>
    <row r="135">
      <c r="A135" s="3">
        <v>89038.0</v>
      </c>
      <c r="B135" s="2" t="s">
        <v>1703</v>
      </c>
      <c r="C135" s="5">
        <v>46093.17457175926</v>
      </c>
      <c r="D135" s="2" t="s">
        <v>1363</v>
      </c>
      <c r="E135" s="2" t="s">
        <v>1704</v>
      </c>
      <c r="F135" s="3">
        <v>7.509090578E9</v>
      </c>
      <c r="G135" s="2" t="s">
        <v>1705</v>
      </c>
      <c r="H135" s="2" t="s">
        <v>1706</v>
      </c>
      <c r="I135" s="2" t="s">
        <v>1707</v>
      </c>
      <c r="J135" s="2" t="s">
        <v>57</v>
      </c>
    </row>
    <row r="136">
      <c r="A136" s="3">
        <v>89039.0</v>
      </c>
      <c r="B136" s="2" t="s">
        <v>1708</v>
      </c>
      <c r="C136" s="5">
        <v>46093.38552083333</v>
      </c>
      <c r="D136" s="2" t="s">
        <v>1356</v>
      </c>
      <c r="E136" s="2" t="s">
        <v>1709</v>
      </c>
      <c r="F136" s="3">
        <v>9.627346122E9</v>
      </c>
      <c r="G136" s="2" t="s">
        <v>44</v>
      </c>
      <c r="H136" s="2" t="s">
        <v>65</v>
      </c>
      <c r="I136" s="2" t="s">
        <v>1710</v>
      </c>
      <c r="J136" s="2" t="s">
        <v>57</v>
      </c>
    </row>
    <row r="137">
      <c r="A137" s="3">
        <v>89040.0</v>
      </c>
      <c r="B137" s="2" t="s">
        <v>1711</v>
      </c>
      <c r="C137" s="5">
        <v>46093.527395833335</v>
      </c>
      <c r="D137" s="2" t="s">
        <v>1363</v>
      </c>
      <c r="E137" s="2" t="s">
        <v>1712</v>
      </c>
      <c r="F137" s="3">
        <v>9.410022075E9</v>
      </c>
      <c r="G137" s="2" t="s">
        <v>44</v>
      </c>
      <c r="H137" s="2" t="s">
        <v>65</v>
      </c>
      <c r="I137" s="2" t="s">
        <v>1713</v>
      </c>
      <c r="J137" s="2" t="s">
        <v>57</v>
      </c>
    </row>
    <row r="138">
      <c r="A138" s="3">
        <v>89041.0</v>
      </c>
      <c r="B138" s="2" t="s">
        <v>1714</v>
      </c>
      <c r="C138" s="5">
        <v>46093.52978009259</v>
      </c>
      <c r="D138" s="2" t="s">
        <v>1356</v>
      </c>
      <c r="E138" s="2" t="s">
        <v>1715</v>
      </c>
      <c r="F138" s="3">
        <v>6.146157346E9</v>
      </c>
      <c r="G138" s="2" t="s">
        <v>533</v>
      </c>
      <c r="H138" s="2" t="s">
        <v>532</v>
      </c>
      <c r="I138" s="2" t="s">
        <v>1716</v>
      </c>
      <c r="J138" s="2" t="s">
        <v>57</v>
      </c>
    </row>
    <row r="139">
      <c r="A139" s="3">
        <v>89042.0</v>
      </c>
      <c r="B139" s="2" t="s">
        <v>1717</v>
      </c>
      <c r="C139" s="5">
        <v>46093.67244212963</v>
      </c>
      <c r="D139" s="2" t="s">
        <v>1363</v>
      </c>
      <c r="E139" s="2" t="s">
        <v>1718</v>
      </c>
      <c r="F139" s="3">
        <v>7.985497123E9</v>
      </c>
      <c r="G139" s="2" t="s">
        <v>44</v>
      </c>
      <c r="H139" s="2" t="s">
        <v>65</v>
      </c>
      <c r="I139" s="2" t="s">
        <v>136</v>
      </c>
      <c r="J139" s="2" t="s">
        <v>57</v>
      </c>
    </row>
    <row r="140">
      <c r="A140" s="3">
        <v>89043.0</v>
      </c>
      <c r="B140" s="2" t="s">
        <v>1719</v>
      </c>
      <c r="C140" s="5">
        <v>46093.73484953704</v>
      </c>
      <c r="D140" s="2" t="s">
        <v>1356</v>
      </c>
      <c r="E140" s="2" t="s">
        <v>1720</v>
      </c>
      <c r="F140" s="3">
        <v>7.009302562E9</v>
      </c>
      <c r="G140" s="2" t="s">
        <v>44</v>
      </c>
      <c r="H140" s="2" t="s">
        <v>226</v>
      </c>
      <c r="I140" s="2" t="s">
        <v>802</v>
      </c>
      <c r="J140" s="2" t="s">
        <v>57</v>
      </c>
    </row>
    <row r="141">
      <c r="A141" s="3">
        <v>89044.0</v>
      </c>
      <c r="B141" s="2" t="s">
        <v>1721</v>
      </c>
      <c r="C141" s="5">
        <v>46093.737233796295</v>
      </c>
      <c r="D141" s="2" t="s">
        <v>1356</v>
      </c>
      <c r="E141" s="2" t="s">
        <v>1722</v>
      </c>
      <c r="F141" s="3">
        <v>6.205077712E9</v>
      </c>
      <c r="G141" s="2" t="s">
        <v>44</v>
      </c>
      <c r="H141" s="2" t="s">
        <v>1360</v>
      </c>
      <c r="I141" s="2" t="s">
        <v>1624</v>
      </c>
      <c r="J141" s="2" t="s">
        <v>57</v>
      </c>
    </row>
    <row r="142">
      <c r="A142" s="3">
        <v>89045.0</v>
      </c>
      <c r="B142" s="2" t="s">
        <v>1723</v>
      </c>
      <c r="C142" s="5">
        <v>46093.84149305556</v>
      </c>
      <c r="D142" s="2" t="s">
        <v>1356</v>
      </c>
      <c r="E142" s="2" t="s">
        <v>1724</v>
      </c>
      <c r="F142" s="3">
        <v>6.297584002E9</v>
      </c>
      <c r="G142" s="2" t="s">
        <v>44</v>
      </c>
      <c r="H142" s="2" t="s">
        <v>220</v>
      </c>
      <c r="I142" s="2" t="s">
        <v>1725</v>
      </c>
      <c r="J142" s="2" t="s">
        <v>57</v>
      </c>
    </row>
    <row r="143">
      <c r="A143" s="3">
        <v>89046.0</v>
      </c>
      <c r="B143" s="2" t="s">
        <v>1726</v>
      </c>
      <c r="C143" s="5">
        <v>46093.920636574076</v>
      </c>
      <c r="D143" s="2" t="s">
        <v>1363</v>
      </c>
      <c r="E143" s="2" t="s">
        <v>1727</v>
      </c>
      <c r="F143" s="3">
        <v>9.720204042E9</v>
      </c>
      <c r="G143" s="2" t="s">
        <v>44</v>
      </c>
      <c r="H143" s="2" t="s">
        <v>121</v>
      </c>
      <c r="I143" s="2" t="s">
        <v>120</v>
      </c>
      <c r="J143" s="2" t="s">
        <v>57</v>
      </c>
    </row>
    <row r="144">
      <c r="A144" s="3">
        <v>89047.0</v>
      </c>
      <c r="B144" s="2" t="s">
        <v>1728</v>
      </c>
      <c r="C144" s="5">
        <v>46093.97174768519</v>
      </c>
      <c r="D144" s="2" t="s">
        <v>1363</v>
      </c>
      <c r="E144" s="2" t="s">
        <v>1729</v>
      </c>
      <c r="F144" s="3">
        <v>9.936239146E9</v>
      </c>
      <c r="G144" s="2" t="s">
        <v>44</v>
      </c>
      <c r="H144" s="2" t="s">
        <v>43</v>
      </c>
      <c r="I144" s="2" t="s">
        <v>42</v>
      </c>
      <c r="J144" s="2" t="s">
        <v>57</v>
      </c>
    </row>
    <row r="145">
      <c r="A145" s="3">
        <v>89048.0</v>
      </c>
      <c r="B145" s="2" t="s">
        <v>1730</v>
      </c>
      <c r="C145" s="5">
        <v>46094.03039351852</v>
      </c>
      <c r="D145" s="2" t="s">
        <v>1356</v>
      </c>
      <c r="E145" s="2" t="s">
        <v>1731</v>
      </c>
      <c r="F145" s="3">
        <v>9.846876008E9</v>
      </c>
      <c r="G145" s="2" t="s">
        <v>533</v>
      </c>
      <c r="H145" s="2" t="s">
        <v>730</v>
      </c>
      <c r="I145" s="2" t="s">
        <v>729</v>
      </c>
      <c r="J145" s="2" t="s">
        <v>57</v>
      </c>
    </row>
    <row r="146">
      <c r="A146" s="3">
        <v>89049.0</v>
      </c>
      <c r="B146" s="2" t="s">
        <v>1732</v>
      </c>
      <c r="C146" s="5">
        <v>46094.03902777778</v>
      </c>
      <c r="D146" s="2" t="s">
        <v>1356</v>
      </c>
      <c r="E146" s="2" t="s">
        <v>1733</v>
      </c>
      <c r="F146" s="3">
        <v>7.428900794E9</v>
      </c>
      <c r="G146" s="2" t="s">
        <v>44</v>
      </c>
      <c r="H146" s="2" t="s">
        <v>121</v>
      </c>
      <c r="I146" s="2" t="s">
        <v>121</v>
      </c>
      <c r="J146" s="2" t="s">
        <v>57</v>
      </c>
    </row>
    <row r="147">
      <c r="A147" s="3">
        <v>89050.0</v>
      </c>
      <c r="B147" s="2" t="s">
        <v>1734</v>
      </c>
      <c r="C147" s="5">
        <v>46094.42853009259</v>
      </c>
      <c r="D147" s="2" t="s">
        <v>1356</v>
      </c>
      <c r="E147" s="2" t="s">
        <v>1735</v>
      </c>
      <c r="F147" s="10">
        <v>7.7716E10</v>
      </c>
      <c r="G147" s="2" t="s">
        <v>1736</v>
      </c>
      <c r="H147" s="2" t="s">
        <v>1737</v>
      </c>
      <c r="I147" s="2" t="s">
        <v>1738</v>
      </c>
      <c r="J147" s="2" t="s">
        <v>57</v>
      </c>
    </row>
    <row r="148">
      <c r="A148" s="3">
        <v>89051.0</v>
      </c>
      <c r="B148" s="2" t="s">
        <v>1739</v>
      </c>
      <c r="C148" s="5">
        <v>46094.532743055555</v>
      </c>
      <c r="D148" s="2" t="s">
        <v>1356</v>
      </c>
      <c r="E148" s="2" t="s">
        <v>1740</v>
      </c>
      <c r="F148" s="3">
        <v>8.987139675E9</v>
      </c>
      <c r="G148" s="2" t="s">
        <v>44</v>
      </c>
      <c r="H148" s="2" t="s">
        <v>1360</v>
      </c>
      <c r="I148" s="2" t="s">
        <v>1741</v>
      </c>
      <c r="J148" s="2" t="s">
        <v>57</v>
      </c>
    </row>
    <row r="149">
      <c r="A149" s="3">
        <v>89052.0</v>
      </c>
      <c r="B149" s="2" t="s">
        <v>1742</v>
      </c>
      <c r="C149" s="5">
        <v>46094.559525462966</v>
      </c>
      <c r="D149" s="2" t="s">
        <v>1356</v>
      </c>
      <c r="E149" s="2" t="s">
        <v>1743</v>
      </c>
      <c r="F149" s="3">
        <v>7.076158419E9</v>
      </c>
      <c r="G149" s="2" t="s">
        <v>44</v>
      </c>
      <c r="H149" s="2" t="s">
        <v>220</v>
      </c>
      <c r="I149" s="2" t="s">
        <v>1594</v>
      </c>
      <c r="J149" s="2" t="s">
        <v>57</v>
      </c>
    </row>
    <row r="150">
      <c r="A150" s="3">
        <v>89053.0</v>
      </c>
      <c r="B150" s="2" t="s">
        <v>1744</v>
      </c>
      <c r="C150" s="5">
        <v>46094.60024305555</v>
      </c>
      <c r="D150" s="2" t="s">
        <v>1363</v>
      </c>
      <c r="E150" s="2" t="s">
        <v>1745</v>
      </c>
      <c r="F150" s="3">
        <v>7.276703783E9</v>
      </c>
      <c r="G150" s="2" t="s">
        <v>44</v>
      </c>
      <c r="H150" s="2" t="s">
        <v>43</v>
      </c>
      <c r="I150" s="2" t="s">
        <v>42</v>
      </c>
      <c r="J150" s="2" t="s">
        <v>57</v>
      </c>
    </row>
    <row r="151">
      <c r="A151" s="3">
        <v>89054.0</v>
      </c>
      <c r="B151" s="2" t="s">
        <v>1746</v>
      </c>
      <c r="C151" s="5">
        <v>46094.74553240741</v>
      </c>
      <c r="D151" s="2" t="s">
        <v>1356</v>
      </c>
      <c r="E151" s="2" t="s">
        <v>1747</v>
      </c>
      <c r="F151" s="3">
        <v>8.652002235E9</v>
      </c>
      <c r="G151" s="2" t="s">
        <v>44</v>
      </c>
      <c r="H151" s="2" t="s">
        <v>59</v>
      </c>
      <c r="I151" s="2" t="s">
        <v>156</v>
      </c>
      <c r="J151" s="2" t="s">
        <v>57</v>
      </c>
    </row>
    <row r="152">
      <c r="A152" s="3">
        <v>89055.0</v>
      </c>
      <c r="B152" s="2" t="s">
        <v>1748</v>
      </c>
      <c r="C152" s="5">
        <v>46094.79589120371</v>
      </c>
      <c r="D152" s="2" t="s">
        <v>1356</v>
      </c>
      <c r="E152" s="2" t="s">
        <v>1749</v>
      </c>
      <c r="F152" s="3">
        <v>9.922670759E9</v>
      </c>
      <c r="G152" s="2" t="s">
        <v>1750</v>
      </c>
      <c r="H152" s="2" t="s">
        <v>1751</v>
      </c>
      <c r="I152" s="2" t="s">
        <v>1751</v>
      </c>
      <c r="J152" s="2" t="s">
        <v>57</v>
      </c>
    </row>
    <row r="153">
      <c r="A153" s="3">
        <v>89056.0</v>
      </c>
      <c r="B153" s="2" t="s">
        <v>1752</v>
      </c>
      <c r="C153" s="5">
        <v>46094.82733796296</v>
      </c>
      <c r="D153" s="2" t="s">
        <v>1356</v>
      </c>
      <c r="E153" s="2" t="s">
        <v>1753</v>
      </c>
      <c r="F153" s="3">
        <v>7.795013577E9</v>
      </c>
      <c r="G153" s="2" t="s">
        <v>44</v>
      </c>
      <c r="H153" s="2" t="s">
        <v>43</v>
      </c>
      <c r="I153" s="2" t="s">
        <v>42</v>
      </c>
      <c r="J153" s="2" t="s">
        <v>57</v>
      </c>
    </row>
    <row r="154">
      <c r="A154" s="3">
        <v>89057.0</v>
      </c>
      <c r="B154" s="2" t="s">
        <v>1000</v>
      </c>
      <c r="C154" s="5">
        <v>46094.84758101852</v>
      </c>
      <c r="D154" s="2" t="s">
        <v>1356</v>
      </c>
      <c r="E154" s="2" t="s">
        <v>1754</v>
      </c>
      <c r="F154" s="3">
        <v>9.560766025E9</v>
      </c>
      <c r="G154" s="2" t="s">
        <v>44</v>
      </c>
      <c r="H154" s="2" t="s">
        <v>121</v>
      </c>
      <c r="I154" s="2" t="s">
        <v>120</v>
      </c>
      <c r="J154" s="2" t="s">
        <v>57</v>
      </c>
    </row>
    <row r="155">
      <c r="A155" s="3">
        <v>89058.0</v>
      </c>
      <c r="B155" s="2" t="s">
        <v>1755</v>
      </c>
      <c r="C155" s="5">
        <v>46094.957037037035</v>
      </c>
      <c r="D155" s="2" t="s">
        <v>1356</v>
      </c>
      <c r="E155" s="2" t="s">
        <v>1756</v>
      </c>
      <c r="F155" s="3">
        <v>9.149052891E9</v>
      </c>
      <c r="G155" s="2" t="s">
        <v>44</v>
      </c>
      <c r="H155" s="2" t="s">
        <v>65</v>
      </c>
      <c r="I155" s="2" t="s">
        <v>898</v>
      </c>
      <c r="J155" s="2" t="s">
        <v>57</v>
      </c>
    </row>
    <row r="156">
      <c r="A156" s="3">
        <v>89059.0</v>
      </c>
      <c r="B156" s="2" t="s">
        <v>1757</v>
      </c>
      <c r="C156" s="5">
        <v>46095.018113425926</v>
      </c>
      <c r="D156" s="2" t="s">
        <v>1363</v>
      </c>
      <c r="E156" s="2" t="s">
        <v>1758</v>
      </c>
      <c r="F156" s="3">
        <v>8.240189953E9</v>
      </c>
      <c r="G156" s="2" t="s">
        <v>44</v>
      </c>
      <c r="H156" s="2" t="s">
        <v>220</v>
      </c>
      <c r="I156" s="2" t="s">
        <v>219</v>
      </c>
      <c r="J156" s="2" t="s">
        <v>57</v>
      </c>
    </row>
    <row r="157">
      <c r="A157" s="3">
        <v>89060.0</v>
      </c>
      <c r="B157" s="2" t="s">
        <v>1759</v>
      </c>
      <c r="C157" s="5">
        <v>46095.39394675926</v>
      </c>
      <c r="D157" s="2" t="s">
        <v>1363</v>
      </c>
      <c r="E157" s="2" t="s">
        <v>1760</v>
      </c>
      <c r="F157" s="3">
        <v>7.602257256E9</v>
      </c>
      <c r="G157" s="2" t="s">
        <v>44</v>
      </c>
      <c r="H157" s="2" t="s">
        <v>220</v>
      </c>
      <c r="I157" s="2" t="s">
        <v>1761</v>
      </c>
      <c r="J157" s="2" t="s">
        <v>57</v>
      </c>
    </row>
    <row r="158">
      <c r="A158" s="3">
        <v>89061.0</v>
      </c>
      <c r="B158" s="2" t="s">
        <v>1762</v>
      </c>
      <c r="C158" s="5">
        <v>46095.43952546296</v>
      </c>
      <c r="D158" s="2" t="s">
        <v>1356</v>
      </c>
      <c r="E158" s="2" t="s">
        <v>1763</v>
      </c>
      <c r="F158" s="3">
        <v>9.506446733E9</v>
      </c>
      <c r="G158" s="2" t="s">
        <v>44</v>
      </c>
      <c r="H158" s="2" t="s">
        <v>65</v>
      </c>
      <c r="I158" s="2" t="s">
        <v>136</v>
      </c>
      <c r="J158" s="2" t="s">
        <v>57</v>
      </c>
    </row>
    <row r="159">
      <c r="A159" s="3">
        <v>89062.0</v>
      </c>
      <c r="B159" s="2" t="s">
        <v>1764</v>
      </c>
      <c r="C159" s="5">
        <v>46095.47038194445</v>
      </c>
      <c r="D159" s="2" t="s">
        <v>1356</v>
      </c>
      <c r="E159" s="2" t="s">
        <v>1765</v>
      </c>
      <c r="F159" s="3">
        <v>8.189616415E9</v>
      </c>
      <c r="G159" s="2" t="s">
        <v>533</v>
      </c>
      <c r="H159" s="2" t="s">
        <v>1498</v>
      </c>
      <c r="I159" s="2" t="s">
        <v>1766</v>
      </c>
      <c r="J159" s="2" t="s">
        <v>57</v>
      </c>
    </row>
    <row r="160">
      <c r="A160" s="3">
        <v>89063.0</v>
      </c>
      <c r="B160" s="2" t="s">
        <v>1767</v>
      </c>
      <c r="C160" s="5">
        <v>46095.482256944444</v>
      </c>
      <c r="D160" s="2" t="s">
        <v>1356</v>
      </c>
      <c r="E160" s="2" t="s">
        <v>1768</v>
      </c>
      <c r="F160" s="3">
        <v>9.810664374E9</v>
      </c>
      <c r="G160" s="2" t="s">
        <v>44</v>
      </c>
      <c r="H160" s="2" t="s">
        <v>65</v>
      </c>
      <c r="I160" s="2" t="s">
        <v>618</v>
      </c>
      <c r="J160" s="6"/>
      <c r="K160" s="6"/>
    </row>
    <row r="161">
      <c r="A161" s="3">
        <v>89064.0</v>
      </c>
      <c r="B161" s="2" t="s">
        <v>1769</v>
      </c>
      <c r="C161" s="5">
        <v>46095.51818287037</v>
      </c>
      <c r="D161" s="2" t="s">
        <v>1363</v>
      </c>
      <c r="E161" s="2" t="s">
        <v>1770</v>
      </c>
      <c r="F161" s="3">
        <v>7.976770362E9</v>
      </c>
      <c r="G161" s="2" t="s">
        <v>44</v>
      </c>
      <c r="H161" s="2" t="s">
        <v>88</v>
      </c>
      <c r="I161" s="2" t="s">
        <v>351</v>
      </c>
      <c r="J161" s="2" t="s">
        <v>57</v>
      </c>
    </row>
    <row r="162">
      <c r="A162" s="3">
        <v>89065.0</v>
      </c>
      <c r="B162" s="2" t="s">
        <v>1771</v>
      </c>
      <c r="C162" s="5">
        <v>46095.571180555555</v>
      </c>
      <c r="D162" s="2" t="s">
        <v>1356</v>
      </c>
      <c r="E162" s="2" t="s">
        <v>1772</v>
      </c>
      <c r="F162" s="3">
        <v>6.382108477E9</v>
      </c>
      <c r="G162" s="2" t="s">
        <v>44</v>
      </c>
      <c r="H162" s="2" t="s">
        <v>110</v>
      </c>
      <c r="I162" s="2" t="s">
        <v>191</v>
      </c>
      <c r="J162" s="2" t="s">
        <v>57</v>
      </c>
    </row>
    <row r="163">
      <c r="A163" s="3">
        <v>89066.0</v>
      </c>
      <c r="B163" s="2" t="s">
        <v>1773</v>
      </c>
      <c r="C163" s="5">
        <v>46095.59082175926</v>
      </c>
      <c r="D163" s="2" t="s">
        <v>1356</v>
      </c>
      <c r="E163" s="2" t="s">
        <v>1774</v>
      </c>
      <c r="F163" s="3">
        <v>7.339153267E9</v>
      </c>
      <c r="G163" s="2" t="s">
        <v>44</v>
      </c>
      <c r="H163" s="2" t="s">
        <v>128</v>
      </c>
      <c r="I163" s="2" t="s">
        <v>127</v>
      </c>
      <c r="J163" s="2" t="s">
        <v>57</v>
      </c>
    </row>
    <row r="164">
      <c r="A164" s="3">
        <v>89067.0</v>
      </c>
      <c r="B164" s="2" t="s">
        <v>1775</v>
      </c>
      <c r="C164" s="5">
        <v>46095.64726851852</v>
      </c>
      <c r="D164" s="2" t="s">
        <v>1356</v>
      </c>
      <c r="E164" s="2" t="s">
        <v>1776</v>
      </c>
      <c r="F164" s="3">
        <v>9.74093199E9</v>
      </c>
      <c r="G164" s="2" t="s">
        <v>44</v>
      </c>
      <c r="H164" s="2" t="s">
        <v>43</v>
      </c>
      <c r="I164" s="2" t="s">
        <v>42</v>
      </c>
      <c r="J164" s="2" t="s">
        <v>57</v>
      </c>
    </row>
    <row r="165">
      <c r="A165" s="3">
        <v>89068.0</v>
      </c>
      <c r="B165" s="2" t="s">
        <v>1777</v>
      </c>
      <c r="C165" s="5">
        <v>46095.72489583334</v>
      </c>
      <c r="D165" s="2" t="s">
        <v>1363</v>
      </c>
      <c r="E165" s="2" t="s">
        <v>1778</v>
      </c>
      <c r="F165" s="3">
        <v>8.42057397E9</v>
      </c>
      <c r="G165" s="2" t="s">
        <v>44</v>
      </c>
      <c r="H165" s="2" t="s">
        <v>220</v>
      </c>
      <c r="I165" s="2" t="s">
        <v>219</v>
      </c>
      <c r="J165" s="2" t="s">
        <v>57</v>
      </c>
    </row>
    <row r="166">
      <c r="A166" s="3">
        <v>89069.0</v>
      </c>
      <c r="B166" s="2" t="s">
        <v>1779</v>
      </c>
      <c r="C166" s="5">
        <v>46095.80211805556</v>
      </c>
      <c r="D166" s="2" t="s">
        <v>1363</v>
      </c>
      <c r="E166" s="2" t="s">
        <v>1780</v>
      </c>
      <c r="F166" s="3">
        <v>8.897690806E9</v>
      </c>
      <c r="G166" s="2" t="s">
        <v>44</v>
      </c>
      <c r="H166" s="2" t="s">
        <v>474</v>
      </c>
      <c r="I166" s="2" t="s">
        <v>1472</v>
      </c>
      <c r="J166" s="2" t="s">
        <v>57</v>
      </c>
    </row>
    <row r="167">
      <c r="A167" s="3">
        <v>89070.0</v>
      </c>
      <c r="B167" s="2" t="s">
        <v>1781</v>
      </c>
      <c r="C167" s="5">
        <v>46095.80594907407</v>
      </c>
      <c r="D167" s="2" t="s">
        <v>1356</v>
      </c>
      <c r="E167" s="2" t="s">
        <v>1782</v>
      </c>
      <c r="F167" s="10">
        <v>3.1631E10</v>
      </c>
      <c r="G167" s="2" t="s">
        <v>1431</v>
      </c>
      <c r="H167" s="2" t="s">
        <v>1783</v>
      </c>
      <c r="I167" s="2" t="s">
        <v>1784</v>
      </c>
      <c r="J167" s="2" t="s">
        <v>57</v>
      </c>
    </row>
    <row r="168">
      <c r="A168" s="3">
        <v>89071.0</v>
      </c>
      <c r="B168" s="2" t="s">
        <v>1785</v>
      </c>
      <c r="C168" s="5">
        <v>46095.81230324074</v>
      </c>
      <c r="D168" s="2" t="s">
        <v>1363</v>
      </c>
      <c r="E168" s="2" t="s">
        <v>1786</v>
      </c>
      <c r="F168" s="10">
        <v>9.1925E11</v>
      </c>
      <c r="G168" s="2" t="s">
        <v>44</v>
      </c>
      <c r="H168" s="2" t="s">
        <v>455</v>
      </c>
      <c r="I168" s="2" t="s">
        <v>1787</v>
      </c>
      <c r="J168" s="2" t="s">
        <v>57</v>
      </c>
    </row>
    <row r="169">
      <c r="A169" s="3">
        <v>89072.0</v>
      </c>
      <c r="B169" s="2" t="s">
        <v>1788</v>
      </c>
      <c r="C169" s="5">
        <v>46095.82357638889</v>
      </c>
      <c r="D169" s="2" t="s">
        <v>1356</v>
      </c>
      <c r="E169" s="2" t="s">
        <v>1789</v>
      </c>
      <c r="F169" s="6" t="str">
        <f>+91 9972446460</f>
        <v>#ERROR!</v>
      </c>
      <c r="G169" s="2" t="s">
        <v>44</v>
      </c>
      <c r="H169" s="2" t="s">
        <v>43</v>
      </c>
      <c r="I169" s="2" t="s">
        <v>42</v>
      </c>
      <c r="J169" s="2" t="s">
        <v>57</v>
      </c>
    </row>
    <row r="170">
      <c r="A170" s="3">
        <v>89073.0</v>
      </c>
      <c r="B170" s="2" t="s">
        <v>1790</v>
      </c>
      <c r="C170" s="5">
        <v>46095.85548611111</v>
      </c>
      <c r="D170" s="2" t="s">
        <v>1363</v>
      </c>
      <c r="E170" s="2" t="s">
        <v>1791</v>
      </c>
      <c r="F170" s="3">
        <v>8.917394551E9</v>
      </c>
      <c r="G170" s="2" t="s">
        <v>44</v>
      </c>
      <c r="H170" s="2" t="s">
        <v>513</v>
      </c>
      <c r="I170" s="2" t="s">
        <v>1627</v>
      </c>
      <c r="J170" s="2" t="s">
        <v>57</v>
      </c>
    </row>
    <row r="171">
      <c r="A171" s="3">
        <v>89074.0</v>
      </c>
      <c r="B171" s="2" t="s">
        <v>1792</v>
      </c>
      <c r="C171" s="5">
        <v>46095.99296296296</v>
      </c>
      <c r="D171" s="2" t="s">
        <v>1356</v>
      </c>
      <c r="E171" s="2" t="s">
        <v>1793</v>
      </c>
      <c r="F171" s="3">
        <v>9.518953863E9</v>
      </c>
      <c r="G171" s="2" t="s">
        <v>44</v>
      </c>
      <c r="H171" s="2" t="s">
        <v>59</v>
      </c>
      <c r="I171" s="2" t="s">
        <v>58</v>
      </c>
      <c r="J171" s="2" t="s">
        <v>57</v>
      </c>
    </row>
    <row r="172">
      <c r="A172" s="3">
        <v>89075.0</v>
      </c>
      <c r="B172" s="2" t="s">
        <v>1794</v>
      </c>
      <c r="C172" s="5">
        <v>46096.022835648146</v>
      </c>
      <c r="D172" s="2" t="s">
        <v>1356</v>
      </c>
      <c r="E172" s="2" t="s">
        <v>1795</v>
      </c>
      <c r="F172" s="3">
        <v>6.38152916E9</v>
      </c>
      <c r="G172" s="2" t="s">
        <v>44</v>
      </c>
      <c r="H172" s="2" t="s">
        <v>110</v>
      </c>
      <c r="I172" s="2" t="s">
        <v>191</v>
      </c>
      <c r="J172" s="2" t="s">
        <v>57</v>
      </c>
    </row>
    <row r="173">
      <c r="A173" s="3">
        <v>89076.0</v>
      </c>
      <c r="B173" s="2" t="s">
        <v>1796</v>
      </c>
      <c r="C173" s="5">
        <v>46096.25157407407</v>
      </c>
      <c r="D173" s="2" t="s">
        <v>1356</v>
      </c>
      <c r="E173" s="2" t="s">
        <v>1797</v>
      </c>
      <c r="F173" s="3">
        <v>8.376046006E9</v>
      </c>
      <c r="G173" s="2" t="s">
        <v>44</v>
      </c>
      <c r="H173" s="2" t="s">
        <v>121</v>
      </c>
      <c r="I173" s="2" t="s">
        <v>120</v>
      </c>
      <c r="J173" s="6"/>
      <c r="K173" s="6"/>
    </row>
    <row r="174">
      <c r="A174" s="3">
        <v>89077.0</v>
      </c>
      <c r="B174" s="2" t="s">
        <v>1798</v>
      </c>
      <c r="C174" s="5">
        <v>46096.377071759256</v>
      </c>
      <c r="D174" s="2" t="s">
        <v>1356</v>
      </c>
      <c r="E174" s="2" t="s">
        <v>1799</v>
      </c>
      <c r="F174" s="3">
        <v>8.755202108E9</v>
      </c>
      <c r="G174" s="2" t="s">
        <v>44</v>
      </c>
      <c r="H174" s="2" t="s">
        <v>1560</v>
      </c>
      <c r="I174" s="2" t="s">
        <v>1618</v>
      </c>
      <c r="J174" s="2" t="s">
        <v>57</v>
      </c>
    </row>
    <row r="175">
      <c r="A175" s="3">
        <v>89078.0</v>
      </c>
      <c r="B175" s="2" t="s">
        <v>1800</v>
      </c>
      <c r="C175" s="5">
        <v>46096.39755787037</v>
      </c>
      <c r="D175" s="2" t="s">
        <v>1356</v>
      </c>
      <c r="E175" s="2" t="s">
        <v>1801</v>
      </c>
      <c r="F175" s="3">
        <v>8.34938429E9</v>
      </c>
      <c r="G175" s="2" t="s">
        <v>44</v>
      </c>
      <c r="H175" s="2" t="s">
        <v>286</v>
      </c>
      <c r="I175" s="2" t="s">
        <v>848</v>
      </c>
      <c r="J175" s="2" t="s">
        <v>57</v>
      </c>
    </row>
    <row r="176">
      <c r="A176" s="3">
        <v>89079.0</v>
      </c>
      <c r="B176" s="2" t="s">
        <v>1802</v>
      </c>
      <c r="C176" s="5">
        <v>46096.42298611111</v>
      </c>
      <c r="D176" s="2" t="s">
        <v>1356</v>
      </c>
      <c r="E176" s="2" t="s">
        <v>1803</v>
      </c>
      <c r="F176" s="10">
        <v>1.3177E10</v>
      </c>
      <c r="G176" s="2" t="s">
        <v>533</v>
      </c>
      <c r="H176" s="2" t="s">
        <v>1498</v>
      </c>
      <c r="I176" s="2" t="s">
        <v>1804</v>
      </c>
      <c r="J176" s="2" t="s">
        <v>57</v>
      </c>
    </row>
    <row r="177">
      <c r="A177" s="3">
        <v>89080.0</v>
      </c>
      <c r="B177" s="2" t="s">
        <v>1805</v>
      </c>
      <c r="C177" s="5">
        <v>46096.484189814815</v>
      </c>
      <c r="D177" s="2" t="s">
        <v>1356</v>
      </c>
      <c r="E177" s="2" t="s">
        <v>1806</v>
      </c>
      <c r="F177" s="3">
        <v>7.829601916E9</v>
      </c>
      <c r="G177" s="2" t="s">
        <v>44</v>
      </c>
      <c r="H177" s="2" t="s">
        <v>43</v>
      </c>
      <c r="I177" s="2" t="s">
        <v>42</v>
      </c>
      <c r="J177" s="2" t="s">
        <v>57</v>
      </c>
    </row>
    <row r="178">
      <c r="A178" s="3">
        <v>89081.0</v>
      </c>
      <c r="B178" s="2" t="s">
        <v>1807</v>
      </c>
      <c r="C178" s="5">
        <v>46096.63229166667</v>
      </c>
      <c r="D178" s="2" t="s">
        <v>1356</v>
      </c>
      <c r="E178" s="2" t="s">
        <v>1808</v>
      </c>
      <c r="F178" s="3">
        <v>8.851894048E9</v>
      </c>
      <c r="G178" s="2" t="s">
        <v>44</v>
      </c>
      <c r="H178" s="2" t="s">
        <v>121</v>
      </c>
      <c r="I178" s="2" t="s">
        <v>120</v>
      </c>
      <c r="J178" s="2" t="s">
        <v>57</v>
      </c>
    </row>
    <row r="179">
      <c r="A179" s="3">
        <v>89082.0</v>
      </c>
      <c r="B179" s="2" t="s">
        <v>1809</v>
      </c>
      <c r="C179" s="5">
        <v>46096.682708333334</v>
      </c>
      <c r="D179" s="2" t="s">
        <v>1363</v>
      </c>
      <c r="E179" s="2" t="s">
        <v>1810</v>
      </c>
      <c r="F179" s="3">
        <v>7.355133493E9</v>
      </c>
      <c r="G179" s="2" t="s">
        <v>44</v>
      </c>
      <c r="H179" s="2" t="s">
        <v>121</v>
      </c>
      <c r="I179" s="2" t="s">
        <v>121</v>
      </c>
      <c r="J179" s="2" t="s">
        <v>57</v>
      </c>
    </row>
    <row r="180">
      <c r="A180" s="3">
        <v>89083.0</v>
      </c>
      <c r="B180" s="2" t="s">
        <v>1811</v>
      </c>
      <c r="C180" s="5">
        <v>46096.68886574074</v>
      </c>
      <c r="D180" s="2" t="s">
        <v>1356</v>
      </c>
      <c r="E180" s="2" t="s">
        <v>1812</v>
      </c>
      <c r="F180" s="3">
        <v>6.39488719E9</v>
      </c>
      <c r="G180" s="2" t="s">
        <v>44</v>
      </c>
      <c r="H180" s="2" t="s">
        <v>65</v>
      </c>
      <c r="I180" s="2" t="s">
        <v>1813</v>
      </c>
      <c r="J180" s="2" t="s">
        <v>57</v>
      </c>
    </row>
    <row r="181">
      <c r="A181" s="3">
        <v>89084.0</v>
      </c>
      <c r="B181" s="2" t="s">
        <v>1814</v>
      </c>
      <c r="C181" s="5">
        <v>46096.938622685186</v>
      </c>
      <c r="D181" s="2" t="s">
        <v>1363</v>
      </c>
      <c r="E181" s="2" t="s">
        <v>1815</v>
      </c>
      <c r="F181" s="3">
        <v>6.376850977E9</v>
      </c>
      <c r="G181" s="2" t="s">
        <v>44</v>
      </c>
      <c r="H181" s="2" t="s">
        <v>455</v>
      </c>
      <c r="I181" s="2" t="s">
        <v>1816</v>
      </c>
      <c r="J181" s="2" t="s">
        <v>57</v>
      </c>
    </row>
    <row r="182">
      <c r="A182" s="3">
        <v>89085.0</v>
      </c>
      <c r="B182" s="2" t="s">
        <v>1817</v>
      </c>
      <c r="C182" s="5">
        <v>46097.02240740741</v>
      </c>
      <c r="D182" s="2" t="s">
        <v>1356</v>
      </c>
      <c r="E182" s="2" t="s">
        <v>1818</v>
      </c>
      <c r="F182" s="3">
        <v>7.812966118E9</v>
      </c>
      <c r="G182" s="2" t="s">
        <v>533</v>
      </c>
      <c r="H182" s="2" t="s">
        <v>1533</v>
      </c>
      <c r="I182" s="2" t="s">
        <v>1819</v>
      </c>
      <c r="J182" s="2" t="s">
        <v>57</v>
      </c>
    </row>
    <row r="183">
      <c r="A183" s="3">
        <v>89086.0</v>
      </c>
      <c r="B183" s="2" t="s">
        <v>1820</v>
      </c>
      <c r="C183" s="5">
        <v>46097.39641203704</v>
      </c>
      <c r="D183" s="2" t="s">
        <v>1356</v>
      </c>
      <c r="E183" s="2" t="s">
        <v>1821</v>
      </c>
      <c r="F183" s="3">
        <v>8.7077839E9</v>
      </c>
      <c r="G183" s="2" t="s">
        <v>44</v>
      </c>
      <c r="H183" s="2" t="s">
        <v>65</v>
      </c>
      <c r="I183" s="2" t="s">
        <v>1822</v>
      </c>
      <c r="J183" s="2" t="s">
        <v>57</v>
      </c>
    </row>
    <row r="184">
      <c r="A184" s="3">
        <v>89087.0</v>
      </c>
      <c r="B184" s="2" t="s">
        <v>1823</v>
      </c>
      <c r="C184" s="5">
        <v>46097.44571759259</v>
      </c>
      <c r="D184" s="2" t="s">
        <v>1356</v>
      </c>
      <c r="E184" s="2" t="s">
        <v>1824</v>
      </c>
      <c r="F184" s="3">
        <v>2.017248888E9</v>
      </c>
      <c r="G184" s="2" t="s">
        <v>533</v>
      </c>
      <c r="H184" s="2" t="s">
        <v>1825</v>
      </c>
      <c r="I184" s="2" t="s">
        <v>1826</v>
      </c>
      <c r="J184" s="2" t="s">
        <v>57</v>
      </c>
    </row>
    <row r="185">
      <c r="A185" s="3">
        <v>89088.0</v>
      </c>
      <c r="B185" s="2" t="s">
        <v>1827</v>
      </c>
      <c r="C185" s="5">
        <v>46097.48844907407</v>
      </c>
      <c r="D185" s="2" t="s">
        <v>1363</v>
      </c>
      <c r="E185" s="2" t="s">
        <v>1828</v>
      </c>
      <c r="F185" s="3">
        <v>7.002742629E9</v>
      </c>
      <c r="G185" s="2" t="s">
        <v>44</v>
      </c>
      <c r="H185" s="2" t="s">
        <v>81</v>
      </c>
      <c r="I185" s="2" t="s">
        <v>1829</v>
      </c>
      <c r="J185" s="2" t="s">
        <v>1830</v>
      </c>
    </row>
    <row r="186">
      <c r="A186" s="3">
        <v>89089.0</v>
      </c>
      <c r="B186" s="2" t="s">
        <v>1831</v>
      </c>
      <c r="C186" s="5">
        <v>46097.621342592596</v>
      </c>
      <c r="D186" s="2" t="s">
        <v>1356</v>
      </c>
      <c r="E186" s="2" t="s">
        <v>1832</v>
      </c>
      <c r="F186" s="3">
        <v>8.854007874E9</v>
      </c>
      <c r="G186" s="2" t="s">
        <v>44</v>
      </c>
      <c r="H186" s="2" t="s">
        <v>59</v>
      </c>
      <c r="I186" s="2" t="s">
        <v>156</v>
      </c>
      <c r="J186" s="2" t="s">
        <v>57</v>
      </c>
    </row>
    <row r="187">
      <c r="A187" s="3">
        <v>89090.0</v>
      </c>
      <c r="B187" s="2" t="s">
        <v>1833</v>
      </c>
      <c r="C187" s="5">
        <v>46097.679606481484</v>
      </c>
      <c r="D187" s="2" t="s">
        <v>1356</v>
      </c>
      <c r="E187" s="2" t="s">
        <v>1834</v>
      </c>
      <c r="F187" s="3">
        <v>6.374693899E9</v>
      </c>
      <c r="G187" s="2" t="s">
        <v>44</v>
      </c>
      <c r="H187" s="2" t="s">
        <v>110</v>
      </c>
      <c r="I187" s="2" t="s">
        <v>191</v>
      </c>
      <c r="J187" s="2" t="s">
        <v>57</v>
      </c>
    </row>
    <row r="188">
      <c r="A188" s="3">
        <v>89091.0</v>
      </c>
      <c r="B188" s="2" t="s">
        <v>1835</v>
      </c>
      <c r="C188" s="5">
        <v>46097.71565972222</v>
      </c>
      <c r="D188" s="2" t="s">
        <v>1363</v>
      </c>
      <c r="E188" s="2" t="s">
        <v>1836</v>
      </c>
      <c r="F188" s="2" t="s">
        <v>1837</v>
      </c>
      <c r="G188" s="2" t="s">
        <v>44</v>
      </c>
      <c r="H188" s="2" t="s">
        <v>48</v>
      </c>
      <c r="I188" s="2" t="s">
        <v>877</v>
      </c>
      <c r="J188" s="2" t="s">
        <v>57</v>
      </c>
    </row>
    <row r="189">
      <c r="A189" s="3">
        <v>89092.0</v>
      </c>
      <c r="B189" s="2" t="s">
        <v>1838</v>
      </c>
      <c r="C189" s="5">
        <v>46097.724016203705</v>
      </c>
      <c r="D189" s="2" t="s">
        <v>1356</v>
      </c>
      <c r="E189" s="2" t="s">
        <v>1839</v>
      </c>
      <c r="F189" s="3">
        <v>7.394857021E9</v>
      </c>
      <c r="G189" s="2" t="s">
        <v>44</v>
      </c>
      <c r="H189" s="2" t="s">
        <v>65</v>
      </c>
      <c r="I189" s="2" t="s">
        <v>282</v>
      </c>
      <c r="J189" s="2" t="s">
        <v>57</v>
      </c>
    </row>
    <row r="190">
      <c r="A190" s="3">
        <v>89093.0</v>
      </c>
      <c r="B190" s="2" t="s">
        <v>1840</v>
      </c>
      <c r="C190" s="5">
        <v>46097.73486111111</v>
      </c>
      <c r="D190" s="2" t="s">
        <v>1356</v>
      </c>
      <c r="E190" s="2" t="s">
        <v>1841</v>
      </c>
      <c r="F190" s="3">
        <v>8.553354282E9</v>
      </c>
      <c r="G190" s="2" t="s">
        <v>44</v>
      </c>
      <c r="H190" s="2" t="s">
        <v>43</v>
      </c>
      <c r="I190" s="2" t="s">
        <v>42</v>
      </c>
      <c r="J190" s="2" t="s">
        <v>57</v>
      </c>
    </row>
    <row r="191">
      <c r="A191" s="3">
        <v>89094.0</v>
      </c>
      <c r="B191" s="2" t="s">
        <v>1842</v>
      </c>
      <c r="C191" s="5">
        <v>46097.76179398148</v>
      </c>
      <c r="D191" s="2" t="s">
        <v>1363</v>
      </c>
      <c r="E191" s="2" t="s">
        <v>1843</v>
      </c>
      <c r="F191" s="3">
        <v>9.600279123E9</v>
      </c>
      <c r="G191" s="2" t="s">
        <v>44</v>
      </c>
      <c r="H191" s="2" t="s">
        <v>110</v>
      </c>
      <c r="I191" s="2" t="s">
        <v>191</v>
      </c>
      <c r="J191" s="2" t="s">
        <v>57</v>
      </c>
    </row>
    <row r="192">
      <c r="A192" s="3">
        <v>89095.0</v>
      </c>
      <c r="B192" s="2" t="s">
        <v>1844</v>
      </c>
      <c r="C192" s="5">
        <v>46097.873611111114</v>
      </c>
      <c r="D192" s="2" t="s">
        <v>1356</v>
      </c>
      <c r="E192" s="2" t="s">
        <v>1845</v>
      </c>
      <c r="F192" s="3">
        <v>8.370849188E9</v>
      </c>
      <c r="G192" s="2" t="s">
        <v>44</v>
      </c>
      <c r="H192" s="2" t="s">
        <v>220</v>
      </c>
      <c r="I192" s="2" t="s">
        <v>219</v>
      </c>
      <c r="J192" s="2" t="s">
        <v>57</v>
      </c>
    </row>
    <row r="193">
      <c r="A193" s="3">
        <v>89096.0</v>
      </c>
      <c r="B193" s="2" t="s">
        <v>1846</v>
      </c>
      <c r="C193" s="5">
        <v>46097.946909722225</v>
      </c>
      <c r="D193" s="2" t="s">
        <v>1363</v>
      </c>
      <c r="E193" s="2" t="s">
        <v>1847</v>
      </c>
      <c r="F193" s="3">
        <v>8.884215913E9</v>
      </c>
      <c r="G193" s="2" t="s">
        <v>44</v>
      </c>
      <c r="H193" s="2" t="s">
        <v>43</v>
      </c>
      <c r="I193" s="2" t="s">
        <v>1848</v>
      </c>
      <c r="J193" s="2" t="s">
        <v>57</v>
      </c>
    </row>
    <row r="194">
      <c r="A194" s="3">
        <v>89097.0</v>
      </c>
      <c r="B194" s="2" t="s">
        <v>1849</v>
      </c>
      <c r="C194" s="5">
        <v>46097.96828703704</v>
      </c>
      <c r="D194" s="2" t="s">
        <v>1363</v>
      </c>
      <c r="E194" s="2" t="s">
        <v>1850</v>
      </c>
      <c r="F194" s="3">
        <v>8.964809896E9</v>
      </c>
      <c r="G194" s="2" t="s">
        <v>44</v>
      </c>
      <c r="H194" s="2" t="s">
        <v>286</v>
      </c>
      <c r="I194" s="2" t="s">
        <v>1851</v>
      </c>
      <c r="J194" s="2" t="s">
        <v>57</v>
      </c>
    </row>
    <row r="195">
      <c r="A195" s="3">
        <v>89098.0</v>
      </c>
      <c r="B195" s="2" t="s">
        <v>1852</v>
      </c>
      <c r="C195" s="5">
        <v>46097.997615740744</v>
      </c>
      <c r="D195" s="2" t="s">
        <v>1363</v>
      </c>
      <c r="E195" s="2" t="s">
        <v>1853</v>
      </c>
      <c r="F195" s="3">
        <v>9.139368472E9</v>
      </c>
      <c r="G195" s="2" t="s">
        <v>44</v>
      </c>
      <c r="H195" s="2" t="s">
        <v>59</v>
      </c>
      <c r="I195" s="2" t="s">
        <v>275</v>
      </c>
      <c r="J195" s="2" t="s">
        <v>57</v>
      </c>
    </row>
    <row r="196">
      <c r="A196" s="3">
        <v>89099.0</v>
      </c>
      <c r="B196" s="2" t="s">
        <v>1854</v>
      </c>
      <c r="C196" s="5">
        <v>46098.0231712963</v>
      </c>
      <c r="D196" s="2" t="s">
        <v>1356</v>
      </c>
      <c r="E196" s="2" t="s">
        <v>1855</v>
      </c>
      <c r="F196" s="3">
        <v>9.037442437E9</v>
      </c>
      <c r="G196" s="2" t="s">
        <v>44</v>
      </c>
      <c r="H196" s="2" t="s">
        <v>663</v>
      </c>
      <c r="I196" s="2" t="s">
        <v>1856</v>
      </c>
      <c r="J196" s="2" t="s">
        <v>57</v>
      </c>
    </row>
    <row r="197">
      <c r="A197" s="3">
        <v>89100.0</v>
      </c>
      <c r="B197" s="2" t="s">
        <v>1857</v>
      </c>
      <c r="C197" s="5">
        <v>46098.02836805556</v>
      </c>
      <c r="D197" s="2" t="s">
        <v>1363</v>
      </c>
      <c r="E197" s="2" t="s">
        <v>1858</v>
      </c>
      <c r="F197" s="6" t="str">
        <f>+1 732 558 3117</f>
        <v>#ERROR!</v>
      </c>
      <c r="G197" s="2" t="s">
        <v>533</v>
      </c>
      <c r="H197" s="2" t="s">
        <v>1384</v>
      </c>
      <c r="I197" s="2" t="s">
        <v>1859</v>
      </c>
      <c r="J197" s="2" t="s">
        <v>57</v>
      </c>
    </row>
    <row r="198">
      <c r="A198" s="3">
        <v>89101.0</v>
      </c>
      <c r="B198" s="2" t="s">
        <v>1860</v>
      </c>
      <c r="C198" s="5">
        <v>46098.035150462965</v>
      </c>
      <c r="D198" s="2" t="s">
        <v>1356</v>
      </c>
      <c r="E198" s="2" t="s">
        <v>1861</v>
      </c>
      <c r="F198" s="10">
        <v>3.3662E10</v>
      </c>
      <c r="G198" s="2" t="s">
        <v>1489</v>
      </c>
      <c r="H198" s="2" t="s">
        <v>1862</v>
      </c>
      <c r="I198" s="2" t="s">
        <v>1863</v>
      </c>
      <c r="J198" s="2" t="s">
        <v>57</v>
      </c>
    </row>
    <row r="199">
      <c r="A199" s="3">
        <v>89102.0</v>
      </c>
      <c r="B199" s="2" t="s">
        <v>1864</v>
      </c>
      <c r="C199" s="5">
        <v>46098.09537037037</v>
      </c>
      <c r="D199" s="2" t="s">
        <v>1356</v>
      </c>
      <c r="E199" s="2" t="s">
        <v>1865</v>
      </c>
      <c r="F199" s="10">
        <v>9.7156E11</v>
      </c>
      <c r="G199" s="2" t="s">
        <v>412</v>
      </c>
      <c r="H199" s="2" t="s">
        <v>411</v>
      </c>
      <c r="I199" s="2" t="s">
        <v>411</v>
      </c>
      <c r="J199" s="2" t="s">
        <v>57</v>
      </c>
    </row>
    <row r="200">
      <c r="A200" s="3">
        <v>89103.0</v>
      </c>
      <c r="B200" s="2" t="s">
        <v>1866</v>
      </c>
      <c r="C200" s="5">
        <v>46098.48517361111</v>
      </c>
      <c r="D200" s="2" t="s">
        <v>1356</v>
      </c>
      <c r="E200" s="2" t="s">
        <v>1867</v>
      </c>
      <c r="F200" s="3">
        <v>9.810814969E9</v>
      </c>
      <c r="G200" s="2" t="s">
        <v>44</v>
      </c>
      <c r="H200" s="2" t="s">
        <v>43</v>
      </c>
      <c r="I200" s="2" t="s">
        <v>42</v>
      </c>
      <c r="J200" s="2" t="s">
        <v>57</v>
      </c>
    </row>
    <row r="201">
      <c r="A201" s="3">
        <v>89104.0</v>
      </c>
      <c r="B201" s="2" t="s">
        <v>1868</v>
      </c>
      <c r="C201" s="5">
        <v>46098.50069444445</v>
      </c>
      <c r="D201" s="2" t="s">
        <v>1363</v>
      </c>
      <c r="E201" s="2" t="s">
        <v>1869</v>
      </c>
      <c r="F201" s="10">
        <v>9.7151E11</v>
      </c>
      <c r="G201" s="2" t="s">
        <v>412</v>
      </c>
      <c r="H201" s="2" t="s">
        <v>411</v>
      </c>
      <c r="I201" s="2" t="s">
        <v>411</v>
      </c>
      <c r="J201" s="2" t="s">
        <v>57</v>
      </c>
    </row>
    <row r="202">
      <c r="A202" s="3">
        <v>89105.0</v>
      </c>
      <c r="B202" s="2" t="s">
        <v>1870</v>
      </c>
      <c r="C202" s="5">
        <v>46098.50145833333</v>
      </c>
      <c r="D202" s="2" t="s">
        <v>1356</v>
      </c>
      <c r="E202" s="2" t="s">
        <v>1871</v>
      </c>
      <c r="F202" s="3">
        <v>8.07376167E9</v>
      </c>
      <c r="G202" s="2" t="s">
        <v>44</v>
      </c>
      <c r="H202" s="2" t="s">
        <v>43</v>
      </c>
      <c r="I202" s="2" t="s">
        <v>42</v>
      </c>
      <c r="J202" s="2" t="s">
        <v>57</v>
      </c>
    </row>
    <row r="203">
      <c r="A203" s="3">
        <v>89106.0</v>
      </c>
      <c r="B203" s="2" t="s">
        <v>1872</v>
      </c>
      <c r="C203" s="5">
        <v>46098.546331018515</v>
      </c>
      <c r="D203" s="2" t="s">
        <v>1363</v>
      </c>
      <c r="E203" s="2" t="s">
        <v>1873</v>
      </c>
      <c r="F203" s="6" t="str">
        <f>+91 78781 36254</f>
        <v>#ERROR!</v>
      </c>
      <c r="G203" s="2" t="s">
        <v>44</v>
      </c>
      <c r="H203" s="2" t="s">
        <v>59</v>
      </c>
      <c r="I203" s="2" t="s">
        <v>1513</v>
      </c>
      <c r="J203" s="2" t="s">
        <v>57</v>
      </c>
    </row>
    <row r="204">
      <c r="A204" s="3">
        <v>89107.0</v>
      </c>
      <c r="B204" s="2" t="s">
        <v>1874</v>
      </c>
      <c r="C204" s="5">
        <v>46098.630578703705</v>
      </c>
      <c r="D204" s="2" t="s">
        <v>1363</v>
      </c>
      <c r="E204" s="2" t="s">
        <v>1875</v>
      </c>
      <c r="F204" s="3">
        <v>8.964809896E9</v>
      </c>
      <c r="G204" s="2" t="s">
        <v>44</v>
      </c>
      <c r="H204" s="2" t="s">
        <v>286</v>
      </c>
      <c r="I204" s="2" t="s">
        <v>1851</v>
      </c>
      <c r="J204" s="2" t="s">
        <v>57</v>
      </c>
    </row>
    <row r="205">
      <c r="A205" s="3">
        <v>89108.0</v>
      </c>
      <c r="B205" s="2" t="s">
        <v>1876</v>
      </c>
      <c r="C205" s="5">
        <v>46098.63483796296</v>
      </c>
      <c r="D205" s="2" t="s">
        <v>1363</v>
      </c>
      <c r="E205" s="2" t="s">
        <v>1877</v>
      </c>
      <c r="F205" s="3">
        <v>9.454845854E9</v>
      </c>
      <c r="G205" s="2" t="s">
        <v>44</v>
      </c>
      <c r="H205" s="2" t="s">
        <v>65</v>
      </c>
      <c r="I205" s="2" t="s">
        <v>1878</v>
      </c>
      <c r="J205" s="2" t="s">
        <v>57</v>
      </c>
    </row>
    <row r="206">
      <c r="A206" s="3">
        <v>89109.0</v>
      </c>
      <c r="B206" s="2" t="s">
        <v>1879</v>
      </c>
      <c r="C206" s="5">
        <v>46098.70354166667</v>
      </c>
      <c r="D206" s="2" t="s">
        <v>1356</v>
      </c>
      <c r="E206" s="2" t="s">
        <v>1880</v>
      </c>
      <c r="F206" s="3">
        <v>9.088307922E9</v>
      </c>
      <c r="G206" s="2" t="s">
        <v>44</v>
      </c>
      <c r="H206" s="2" t="s">
        <v>220</v>
      </c>
      <c r="I206" s="2" t="s">
        <v>219</v>
      </c>
      <c r="J206" s="2" t="s">
        <v>57</v>
      </c>
    </row>
    <row r="207">
      <c r="A207" s="3">
        <v>89110.0</v>
      </c>
      <c r="B207" s="2" t="s">
        <v>1881</v>
      </c>
      <c r="C207" s="5">
        <v>46098.70446759259</v>
      </c>
      <c r="D207" s="2" t="s">
        <v>1363</v>
      </c>
      <c r="E207" s="2" t="s">
        <v>1882</v>
      </c>
      <c r="F207" s="3">
        <v>9.263375258E9</v>
      </c>
      <c r="G207" s="2" t="s">
        <v>44</v>
      </c>
      <c r="H207" s="2" t="s">
        <v>1365</v>
      </c>
      <c r="I207" s="2" t="s">
        <v>1883</v>
      </c>
      <c r="J207" s="2" t="s">
        <v>57</v>
      </c>
    </row>
    <row r="208">
      <c r="A208" s="3">
        <v>89111.0</v>
      </c>
      <c r="B208" s="2" t="s">
        <v>1884</v>
      </c>
      <c r="C208" s="5">
        <v>46098.71386574074</v>
      </c>
      <c r="D208" s="2" t="s">
        <v>1356</v>
      </c>
      <c r="E208" s="2" t="s">
        <v>1885</v>
      </c>
      <c r="F208" s="3">
        <v>8.1686139E9</v>
      </c>
      <c r="G208" s="2" t="s">
        <v>44</v>
      </c>
      <c r="H208" s="2" t="s">
        <v>513</v>
      </c>
      <c r="I208" s="2" t="s">
        <v>1886</v>
      </c>
      <c r="J208" s="2" t="s">
        <v>57</v>
      </c>
    </row>
    <row r="209">
      <c r="A209" s="3">
        <v>89112.0</v>
      </c>
      <c r="B209" s="2" t="s">
        <v>1887</v>
      </c>
      <c r="C209" s="5">
        <v>46098.73063657407</v>
      </c>
      <c r="D209" s="2" t="s">
        <v>1356</v>
      </c>
      <c r="E209" s="2" t="s">
        <v>1888</v>
      </c>
      <c r="F209" s="3">
        <v>7.600029188E9</v>
      </c>
      <c r="G209" s="2" t="s">
        <v>44</v>
      </c>
      <c r="H209" s="2" t="s">
        <v>121</v>
      </c>
      <c r="I209" s="2" t="s">
        <v>120</v>
      </c>
      <c r="J209" s="2" t="s">
        <v>57</v>
      </c>
    </row>
    <row r="210">
      <c r="A210" s="3">
        <v>89113.0</v>
      </c>
      <c r="B210" s="2" t="s">
        <v>1889</v>
      </c>
      <c r="C210" s="5">
        <v>46098.77358796296</v>
      </c>
      <c r="D210" s="2" t="s">
        <v>1363</v>
      </c>
      <c r="E210" s="2" t="s">
        <v>1890</v>
      </c>
      <c r="F210" s="3">
        <v>7.877712777E9</v>
      </c>
      <c r="G210" s="2" t="s">
        <v>44</v>
      </c>
      <c r="H210" s="2" t="s">
        <v>43</v>
      </c>
      <c r="I210" s="2" t="s">
        <v>42</v>
      </c>
      <c r="J210" s="2" t="s">
        <v>98</v>
      </c>
    </row>
    <row r="211">
      <c r="A211" s="3">
        <v>89114.0</v>
      </c>
      <c r="B211" s="2" t="s">
        <v>1891</v>
      </c>
      <c r="C211" s="5">
        <v>46098.791041666664</v>
      </c>
      <c r="D211" s="2" t="s">
        <v>1356</v>
      </c>
      <c r="E211" s="2" t="s">
        <v>1892</v>
      </c>
      <c r="F211" s="3">
        <v>7.019188118E9</v>
      </c>
      <c r="G211" s="2" t="s">
        <v>44</v>
      </c>
      <c r="H211" s="2" t="s">
        <v>43</v>
      </c>
      <c r="I211" s="2" t="s">
        <v>902</v>
      </c>
      <c r="J211" s="2" t="s">
        <v>57</v>
      </c>
    </row>
    <row r="212">
      <c r="A212" s="3">
        <v>89115.0</v>
      </c>
      <c r="B212" s="2" t="s">
        <v>1893</v>
      </c>
      <c r="C212" s="5">
        <v>46098.93127314815</v>
      </c>
      <c r="D212" s="2" t="s">
        <v>1356</v>
      </c>
      <c r="E212" s="2" t="s">
        <v>1894</v>
      </c>
      <c r="F212" s="3">
        <v>9.83126078E9</v>
      </c>
      <c r="G212" s="2" t="s">
        <v>44</v>
      </c>
      <c r="H212" s="2" t="s">
        <v>43</v>
      </c>
      <c r="I212" s="2" t="s">
        <v>1895</v>
      </c>
      <c r="J212" s="2" t="s">
        <v>57</v>
      </c>
    </row>
    <row r="213">
      <c r="A213" s="3">
        <v>89116.0</v>
      </c>
      <c r="B213" s="2" t="s">
        <v>1896</v>
      </c>
      <c r="C213" s="5">
        <v>46098.95297453704</v>
      </c>
      <c r="D213" s="2" t="s">
        <v>1356</v>
      </c>
      <c r="E213" s="2" t="s">
        <v>1897</v>
      </c>
      <c r="F213" s="3">
        <v>8.527646408E9</v>
      </c>
      <c r="G213" s="2" t="s">
        <v>44</v>
      </c>
      <c r="H213" s="2" t="s">
        <v>121</v>
      </c>
      <c r="I213" s="2" t="s">
        <v>120</v>
      </c>
      <c r="J213" s="2" t="s">
        <v>57</v>
      </c>
    </row>
    <row r="214">
      <c r="A214" s="3">
        <v>89117.0</v>
      </c>
      <c r="B214" s="2" t="s">
        <v>1898</v>
      </c>
      <c r="C214" s="5">
        <v>46098.99638888889</v>
      </c>
      <c r="D214" s="2" t="s">
        <v>1356</v>
      </c>
      <c r="E214" s="2" t="s">
        <v>1899</v>
      </c>
      <c r="F214" s="3">
        <v>7.030347624E9</v>
      </c>
      <c r="G214" s="2" t="s">
        <v>44</v>
      </c>
      <c r="H214" s="2" t="s">
        <v>59</v>
      </c>
      <c r="I214" s="2" t="s">
        <v>156</v>
      </c>
      <c r="J214" s="2" t="s">
        <v>57</v>
      </c>
    </row>
    <row r="215">
      <c r="A215" s="3">
        <v>89118.0</v>
      </c>
      <c r="B215" s="2" t="s">
        <v>1344</v>
      </c>
      <c r="C215" s="5">
        <v>46099.13033564815</v>
      </c>
      <c r="D215" s="2" t="s">
        <v>1363</v>
      </c>
      <c r="E215" s="2" t="s">
        <v>1345</v>
      </c>
      <c r="F215" s="3">
        <v>8.652320276E9</v>
      </c>
      <c r="G215" s="2" t="s">
        <v>533</v>
      </c>
      <c r="H215" s="2" t="s">
        <v>1900</v>
      </c>
      <c r="I215" s="2" t="s">
        <v>1901</v>
      </c>
      <c r="J215" s="2" t="s">
        <v>57</v>
      </c>
    </row>
    <row r="216">
      <c r="A216" s="3">
        <v>89119.0</v>
      </c>
      <c r="B216" s="2" t="s">
        <v>1902</v>
      </c>
      <c r="C216" s="5">
        <v>46099.34171296296</v>
      </c>
      <c r="D216" s="2" t="s">
        <v>1356</v>
      </c>
      <c r="E216" s="2" t="s">
        <v>1903</v>
      </c>
      <c r="F216" s="3">
        <v>9.691151334E9</v>
      </c>
      <c r="G216" s="2" t="s">
        <v>44</v>
      </c>
      <c r="H216" s="2" t="s">
        <v>286</v>
      </c>
      <c r="I216" s="2" t="s">
        <v>1904</v>
      </c>
      <c r="J216" s="2" t="s">
        <v>57</v>
      </c>
    </row>
    <row r="217">
      <c r="A217" s="3">
        <v>89120.0</v>
      </c>
      <c r="B217" s="2" t="s">
        <v>1905</v>
      </c>
      <c r="C217" s="5">
        <v>46099.34201388889</v>
      </c>
      <c r="D217" s="2" t="s">
        <v>1356</v>
      </c>
      <c r="E217" s="2" t="s">
        <v>1906</v>
      </c>
      <c r="F217" s="3">
        <v>7.347075911E9</v>
      </c>
      <c r="G217" s="2" t="s">
        <v>44</v>
      </c>
      <c r="H217" s="2" t="s">
        <v>43</v>
      </c>
      <c r="I217" s="2" t="s">
        <v>42</v>
      </c>
      <c r="J217" s="2" t="s">
        <v>57</v>
      </c>
    </row>
    <row r="218">
      <c r="A218" s="3">
        <v>89121.0</v>
      </c>
      <c r="B218" s="2" t="s">
        <v>1907</v>
      </c>
      <c r="C218" s="5">
        <v>46099.441296296296</v>
      </c>
      <c r="D218" s="2" t="s">
        <v>1356</v>
      </c>
      <c r="E218" s="2" t="s">
        <v>1908</v>
      </c>
      <c r="F218" s="3">
        <v>6.207407559E9</v>
      </c>
      <c r="G218" s="2" t="s">
        <v>44</v>
      </c>
      <c r="H218" s="2" t="s">
        <v>1360</v>
      </c>
      <c r="I218" s="2" t="s">
        <v>1624</v>
      </c>
      <c r="J218" s="2" t="s">
        <v>57</v>
      </c>
    </row>
    <row r="219">
      <c r="A219" s="3">
        <v>89122.0</v>
      </c>
      <c r="B219" s="2" t="s">
        <v>1898</v>
      </c>
      <c r="C219" s="5">
        <v>46099.45925925926</v>
      </c>
      <c r="D219" s="2" t="s">
        <v>1356</v>
      </c>
      <c r="E219" s="2" t="s">
        <v>1909</v>
      </c>
      <c r="F219" s="3">
        <v>7.030347624E9</v>
      </c>
      <c r="G219" s="2" t="s">
        <v>44</v>
      </c>
      <c r="H219" s="2" t="s">
        <v>59</v>
      </c>
      <c r="I219" s="2" t="s">
        <v>156</v>
      </c>
      <c r="J219" s="2" t="s">
        <v>57</v>
      </c>
    </row>
    <row r="220">
      <c r="A220" s="3">
        <v>89123.0</v>
      </c>
      <c r="B220" s="2" t="s">
        <v>1910</v>
      </c>
      <c r="C220" s="5">
        <v>46099.67366898148</v>
      </c>
      <c r="D220" s="2" t="s">
        <v>1356</v>
      </c>
      <c r="E220" s="2" t="s">
        <v>1911</v>
      </c>
      <c r="F220" s="3">
        <v>9.969817329E9</v>
      </c>
      <c r="G220" s="2" t="s">
        <v>44</v>
      </c>
      <c r="H220" s="2" t="s">
        <v>59</v>
      </c>
      <c r="I220" s="2" t="s">
        <v>715</v>
      </c>
      <c r="J220" s="2" t="s">
        <v>57</v>
      </c>
    </row>
    <row r="221">
      <c r="A221" s="3">
        <v>89124.0</v>
      </c>
      <c r="B221" s="2" t="s">
        <v>1912</v>
      </c>
      <c r="C221" s="5">
        <v>46099.674988425926</v>
      </c>
      <c r="D221" s="2" t="s">
        <v>1356</v>
      </c>
      <c r="E221" s="2" t="s">
        <v>1913</v>
      </c>
      <c r="F221" s="3">
        <v>6.002184797E9</v>
      </c>
      <c r="G221" s="2" t="s">
        <v>44</v>
      </c>
      <c r="H221" s="2" t="s">
        <v>81</v>
      </c>
      <c r="I221" s="2" t="s">
        <v>1089</v>
      </c>
      <c r="J221" s="2" t="s">
        <v>57</v>
      </c>
    </row>
    <row r="222">
      <c r="A222" s="3">
        <v>89125.0</v>
      </c>
      <c r="B222" s="2" t="s">
        <v>1914</v>
      </c>
      <c r="C222" s="5">
        <v>46099.72282407407</v>
      </c>
      <c r="D222" s="2" t="s">
        <v>1363</v>
      </c>
      <c r="E222" s="2" t="s">
        <v>1915</v>
      </c>
      <c r="F222" s="3">
        <v>8.219777067E9</v>
      </c>
      <c r="G222" s="2" t="s">
        <v>44</v>
      </c>
      <c r="H222" s="2" t="s">
        <v>286</v>
      </c>
      <c r="I222" s="2" t="s">
        <v>1465</v>
      </c>
      <c r="J222" s="2" t="s">
        <v>57</v>
      </c>
    </row>
    <row r="223">
      <c r="A223" s="3">
        <v>89126.0</v>
      </c>
      <c r="B223" s="2" t="s">
        <v>1916</v>
      </c>
      <c r="C223" s="5">
        <v>46099.806122685186</v>
      </c>
      <c r="D223" s="2" t="s">
        <v>1356</v>
      </c>
      <c r="E223" s="2" t="s">
        <v>1917</v>
      </c>
      <c r="F223" s="3">
        <v>8.089002582E9</v>
      </c>
      <c r="G223" s="2" t="s">
        <v>44</v>
      </c>
      <c r="H223" s="2" t="s">
        <v>513</v>
      </c>
      <c r="I223" s="2" t="s">
        <v>1567</v>
      </c>
      <c r="J223" s="2" t="s">
        <v>57</v>
      </c>
    </row>
    <row r="224">
      <c r="A224" s="3">
        <v>89127.0</v>
      </c>
      <c r="B224" s="2" t="s">
        <v>1918</v>
      </c>
      <c r="C224" s="5">
        <v>46099.80971064815</v>
      </c>
      <c r="D224" s="2" t="s">
        <v>1356</v>
      </c>
      <c r="E224" s="2" t="s">
        <v>1919</v>
      </c>
      <c r="F224" s="3">
        <v>9.142854202E9</v>
      </c>
      <c r="G224" s="2" t="s">
        <v>44</v>
      </c>
      <c r="H224" s="2" t="s">
        <v>1365</v>
      </c>
      <c r="I224" s="2" t="s">
        <v>1366</v>
      </c>
      <c r="J224" s="2" t="s">
        <v>57</v>
      </c>
    </row>
    <row r="225">
      <c r="A225" s="3">
        <v>89128.0</v>
      </c>
      <c r="B225" s="2" t="s">
        <v>1920</v>
      </c>
      <c r="C225" s="5">
        <v>46099.85077546296</v>
      </c>
      <c r="D225" s="2" t="s">
        <v>1356</v>
      </c>
      <c r="E225" s="2" t="s">
        <v>1921</v>
      </c>
      <c r="F225" s="3">
        <v>9.341737716E9</v>
      </c>
      <c r="G225" s="2" t="s">
        <v>44</v>
      </c>
      <c r="H225" s="2" t="s">
        <v>43</v>
      </c>
      <c r="I225" s="2" t="s">
        <v>42</v>
      </c>
      <c r="J225" s="2" t="s">
        <v>57</v>
      </c>
    </row>
    <row r="226">
      <c r="A226" s="3">
        <v>89129.0</v>
      </c>
      <c r="B226" s="2" t="s">
        <v>1922</v>
      </c>
      <c r="C226" s="5">
        <v>46099.913402777776</v>
      </c>
      <c r="D226" s="2" t="s">
        <v>1356</v>
      </c>
      <c r="E226" s="2" t="s">
        <v>1923</v>
      </c>
      <c r="F226" s="3">
        <v>9.791115527E9</v>
      </c>
      <c r="G226" s="2" t="s">
        <v>44</v>
      </c>
      <c r="H226" s="2" t="s">
        <v>110</v>
      </c>
      <c r="I226" s="2" t="s">
        <v>191</v>
      </c>
      <c r="J226" s="2" t="s">
        <v>57</v>
      </c>
    </row>
    <row r="227">
      <c r="A227" s="3">
        <v>89130.0</v>
      </c>
      <c r="B227" s="2" t="s">
        <v>1924</v>
      </c>
      <c r="C227" s="5">
        <v>46099.92188657408</v>
      </c>
      <c r="D227" s="2" t="s">
        <v>1363</v>
      </c>
      <c r="E227" s="2" t="s">
        <v>1925</v>
      </c>
      <c r="F227" s="3">
        <v>7.986623132E9</v>
      </c>
      <c r="G227" s="2" t="s">
        <v>44</v>
      </c>
      <c r="H227" s="2" t="s">
        <v>226</v>
      </c>
      <c r="I227" s="2" t="s">
        <v>1926</v>
      </c>
      <c r="J227" s="2" t="s">
        <v>57</v>
      </c>
    </row>
    <row r="228">
      <c r="A228" s="3">
        <v>89131.0</v>
      </c>
      <c r="B228" s="2" t="s">
        <v>1927</v>
      </c>
      <c r="C228" s="5">
        <v>46099.92866898148</v>
      </c>
      <c r="D228" s="2" t="s">
        <v>1356</v>
      </c>
      <c r="E228" s="2" t="s">
        <v>1928</v>
      </c>
      <c r="F228" s="3">
        <v>9.541239395E9</v>
      </c>
      <c r="G228" s="2" t="s">
        <v>44</v>
      </c>
      <c r="H228" s="2" t="s">
        <v>121</v>
      </c>
      <c r="I228" s="2" t="s">
        <v>120</v>
      </c>
      <c r="J228" s="2" t="s">
        <v>57</v>
      </c>
    </row>
    <row r="229">
      <c r="A229" s="3">
        <v>89132.0</v>
      </c>
      <c r="B229" s="2" t="s">
        <v>1929</v>
      </c>
      <c r="C229" s="5">
        <v>46100.00572916667</v>
      </c>
      <c r="D229" s="2" t="s">
        <v>1356</v>
      </c>
      <c r="E229" s="2" t="s">
        <v>1930</v>
      </c>
      <c r="F229" s="10">
        <v>9.1843E11</v>
      </c>
      <c r="G229" s="2" t="s">
        <v>1597</v>
      </c>
      <c r="H229" s="2" t="s">
        <v>1598</v>
      </c>
      <c r="I229" s="2" t="s">
        <v>1598</v>
      </c>
      <c r="J229" s="2" t="s">
        <v>57</v>
      </c>
    </row>
    <row r="230">
      <c r="A230" s="3">
        <v>89133.0</v>
      </c>
      <c r="B230" s="2" t="s">
        <v>1931</v>
      </c>
      <c r="C230" s="5">
        <v>46100.008263888885</v>
      </c>
      <c r="D230" s="2" t="s">
        <v>1363</v>
      </c>
      <c r="E230" s="2" t="s">
        <v>1932</v>
      </c>
      <c r="F230" s="3">
        <v>8.328209465E9</v>
      </c>
      <c r="G230" s="2" t="s">
        <v>44</v>
      </c>
      <c r="H230" s="2" t="s">
        <v>65</v>
      </c>
      <c r="I230" s="2" t="s">
        <v>1933</v>
      </c>
      <c r="J230" s="2" t="s">
        <v>57</v>
      </c>
    </row>
    <row r="231">
      <c r="A231" s="3">
        <v>89134.0</v>
      </c>
      <c r="B231" s="2" t="s">
        <v>1934</v>
      </c>
      <c r="C231" s="5">
        <v>46100.3253587963</v>
      </c>
      <c r="D231" s="2" t="s">
        <v>1363</v>
      </c>
      <c r="E231" s="2" t="s">
        <v>1935</v>
      </c>
      <c r="F231" s="3">
        <v>6.360391756E9</v>
      </c>
      <c r="G231" s="2" t="s">
        <v>44</v>
      </c>
      <c r="H231" s="2" t="s">
        <v>43</v>
      </c>
      <c r="I231" s="2" t="s">
        <v>42</v>
      </c>
      <c r="J231" s="2" t="s">
        <v>57</v>
      </c>
    </row>
    <row r="232">
      <c r="A232" s="3">
        <v>89135.0</v>
      </c>
      <c r="B232" s="2" t="s">
        <v>1936</v>
      </c>
      <c r="C232" s="5">
        <v>46100.396516203706</v>
      </c>
      <c r="D232" s="2" t="s">
        <v>1356</v>
      </c>
      <c r="E232" s="2" t="s">
        <v>1937</v>
      </c>
      <c r="F232" s="3">
        <v>9.845012791E9</v>
      </c>
      <c r="G232" s="2" t="s">
        <v>44</v>
      </c>
      <c r="H232" s="2" t="s">
        <v>43</v>
      </c>
      <c r="I232" s="2" t="s">
        <v>42</v>
      </c>
      <c r="J232" s="2" t="s">
        <v>57</v>
      </c>
    </row>
    <row r="233">
      <c r="A233" s="3">
        <v>89136.0</v>
      </c>
      <c r="B233" s="2" t="s">
        <v>1938</v>
      </c>
      <c r="C233" s="5">
        <v>46100.442881944444</v>
      </c>
      <c r="D233" s="2" t="s">
        <v>1356</v>
      </c>
      <c r="E233" s="2" t="s">
        <v>1939</v>
      </c>
      <c r="F233" s="3">
        <v>6.299248579E9</v>
      </c>
      <c r="G233" s="2" t="s">
        <v>44</v>
      </c>
      <c r="H233" s="2" t="s">
        <v>286</v>
      </c>
      <c r="I233" s="2" t="s">
        <v>798</v>
      </c>
      <c r="J233" s="2" t="s">
        <v>57</v>
      </c>
    </row>
    <row r="234">
      <c r="A234" s="3">
        <v>89137.0</v>
      </c>
      <c r="B234" s="2" t="s">
        <v>1940</v>
      </c>
      <c r="C234" s="5">
        <v>46100.53900462963</v>
      </c>
      <c r="D234" s="2" t="s">
        <v>1356</v>
      </c>
      <c r="E234" s="6"/>
      <c r="F234" s="6"/>
      <c r="G234" s="2" t="s">
        <v>44</v>
      </c>
      <c r="H234" s="2" t="s">
        <v>226</v>
      </c>
      <c r="I234" s="2" t="s">
        <v>1034</v>
      </c>
      <c r="J234" s="2" t="s">
        <v>57</v>
      </c>
    </row>
    <row r="235">
      <c r="A235" s="3">
        <v>89138.0</v>
      </c>
      <c r="B235" s="2" t="s">
        <v>1941</v>
      </c>
      <c r="C235" s="5">
        <v>46100.58199074074</v>
      </c>
      <c r="D235" s="2" t="s">
        <v>1356</v>
      </c>
      <c r="E235" s="2" t="s">
        <v>1942</v>
      </c>
      <c r="F235" s="3">
        <v>9.498859685E9</v>
      </c>
      <c r="G235" s="2" t="s">
        <v>533</v>
      </c>
      <c r="H235" s="2" t="s">
        <v>1384</v>
      </c>
      <c r="I235" s="2" t="s">
        <v>1646</v>
      </c>
      <c r="J235" s="2" t="s">
        <v>57</v>
      </c>
    </row>
    <row r="236">
      <c r="A236" s="3">
        <v>89139.0</v>
      </c>
      <c r="B236" s="2" t="s">
        <v>1943</v>
      </c>
      <c r="C236" s="5">
        <v>46100.63773148148</v>
      </c>
      <c r="D236" s="2" t="s">
        <v>1363</v>
      </c>
      <c r="E236" s="2" t="s">
        <v>1944</v>
      </c>
      <c r="F236" s="3">
        <v>9.370626801E9</v>
      </c>
      <c r="G236" s="2" t="s">
        <v>44</v>
      </c>
      <c r="H236" s="2" t="s">
        <v>88</v>
      </c>
      <c r="I236" s="2" t="s">
        <v>1945</v>
      </c>
      <c r="J236" s="2" t="s">
        <v>557</v>
      </c>
    </row>
    <row r="237">
      <c r="A237" s="3">
        <v>89140.0</v>
      </c>
      <c r="B237" s="2" t="s">
        <v>1946</v>
      </c>
      <c r="C237" s="5">
        <v>46100.63898148148</v>
      </c>
      <c r="D237" s="2" t="s">
        <v>1363</v>
      </c>
      <c r="E237" s="2" t="s">
        <v>1947</v>
      </c>
      <c r="F237" s="3">
        <v>9.769360781E9</v>
      </c>
      <c r="G237" s="2" t="s">
        <v>44</v>
      </c>
      <c r="H237" s="2" t="s">
        <v>59</v>
      </c>
      <c r="I237" s="2" t="s">
        <v>156</v>
      </c>
      <c r="J237" s="2" t="s">
        <v>57</v>
      </c>
    </row>
    <row r="238">
      <c r="A238" s="3">
        <v>89141.0</v>
      </c>
      <c r="B238" s="2" t="s">
        <v>1948</v>
      </c>
      <c r="C238" s="5">
        <v>46100.64738425926</v>
      </c>
      <c r="D238" s="2" t="s">
        <v>1356</v>
      </c>
      <c r="E238" s="2" t="s">
        <v>1949</v>
      </c>
      <c r="F238" s="3">
        <v>7.66800506E9</v>
      </c>
      <c r="G238" s="2" t="s">
        <v>44</v>
      </c>
      <c r="H238" s="2" t="s">
        <v>65</v>
      </c>
      <c r="I238" s="2" t="s">
        <v>1950</v>
      </c>
      <c r="J238" s="2" t="s">
        <v>57</v>
      </c>
    </row>
    <row r="239">
      <c r="A239" s="3">
        <v>89142.0</v>
      </c>
      <c r="B239" s="2" t="s">
        <v>1951</v>
      </c>
      <c r="C239" s="5">
        <v>46100.670011574075</v>
      </c>
      <c r="D239" s="2" t="s">
        <v>1363</v>
      </c>
      <c r="E239" s="2" t="s">
        <v>1952</v>
      </c>
      <c r="F239" s="3">
        <v>9.95501218E9</v>
      </c>
      <c r="G239" s="2" t="s">
        <v>44</v>
      </c>
      <c r="H239" s="2" t="s">
        <v>1365</v>
      </c>
      <c r="I239" s="2" t="s">
        <v>1366</v>
      </c>
      <c r="J239" s="2" t="s">
        <v>57</v>
      </c>
    </row>
    <row r="240">
      <c r="A240" s="3">
        <v>89143.0</v>
      </c>
      <c r="B240" s="2" t="s">
        <v>1953</v>
      </c>
      <c r="C240" s="5">
        <v>46100.81324074074</v>
      </c>
      <c r="D240" s="2" t="s">
        <v>1356</v>
      </c>
      <c r="E240" s="2" t="s">
        <v>1954</v>
      </c>
      <c r="F240" s="3">
        <v>8.778346933E9</v>
      </c>
      <c r="G240" s="2" t="s">
        <v>44</v>
      </c>
      <c r="H240" s="2" t="s">
        <v>128</v>
      </c>
      <c r="I240" s="2" t="s">
        <v>127</v>
      </c>
      <c r="J240" s="2" t="s">
        <v>57</v>
      </c>
    </row>
    <row r="241">
      <c r="A241" s="3">
        <v>89144.0</v>
      </c>
      <c r="B241" s="2" t="s">
        <v>1955</v>
      </c>
      <c r="C241" s="5">
        <v>46100.82126157408</v>
      </c>
      <c r="D241" s="2" t="s">
        <v>1356</v>
      </c>
      <c r="E241" s="2" t="s">
        <v>1956</v>
      </c>
      <c r="F241" s="3">
        <v>9.650690316E9</v>
      </c>
      <c r="G241" s="2" t="s">
        <v>44</v>
      </c>
      <c r="H241" s="2" t="s">
        <v>65</v>
      </c>
      <c r="I241" s="2" t="s">
        <v>332</v>
      </c>
      <c r="J241" s="2" t="s">
        <v>57</v>
      </c>
    </row>
    <row r="242">
      <c r="A242" s="3">
        <v>89145.0</v>
      </c>
      <c r="B242" s="2" t="s">
        <v>1957</v>
      </c>
      <c r="C242" s="5">
        <v>46100.92122685185</v>
      </c>
      <c r="D242" s="2" t="s">
        <v>1363</v>
      </c>
      <c r="E242" s="2" t="s">
        <v>1958</v>
      </c>
      <c r="F242" s="3">
        <v>9.284017226E9</v>
      </c>
      <c r="G242" s="2" t="s">
        <v>44</v>
      </c>
      <c r="H242" s="2" t="s">
        <v>59</v>
      </c>
      <c r="I242" s="2" t="s">
        <v>156</v>
      </c>
      <c r="J242" s="2" t="s">
        <v>57</v>
      </c>
    </row>
    <row r="243">
      <c r="A243" s="3">
        <v>89146.0</v>
      </c>
      <c r="B243" s="2" t="s">
        <v>1959</v>
      </c>
      <c r="C243" s="5">
        <v>46100.96351851852</v>
      </c>
      <c r="D243" s="2" t="s">
        <v>1356</v>
      </c>
      <c r="E243" s="2" t="s">
        <v>1960</v>
      </c>
      <c r="F243" s="10">
        <v>9.1939E11</v>
      </c>
      <c r="G243" s="2" t="s">
        <v>44</v>
      </c>
      <c r="H243" s="2" t="s">
        <v>128</v>
      </c>
      <c r="I243" s="2" t="s">
        <v>127</v>
      </c>
      <c r="J243" s="2" t="s">
        <v>57</v>
      </c>
    </row>
    <row r="244">
      <c r="A244" s="3">
        <v>89147.0</v>
      </c>
      <c r="B244" s="2" t="s">
        <v>1961</v>
      </c>
      <c r="C244" s="5">
        <v>46100.983564814815</v>
      </c>
      <c r="D244" s="2" t="s">
        <v>1363</v>
      </c>
      <c r="E244" s="2" t="s">
        <v>1962</v>
      </c>
      <c r="F244" s="3">
        <v>9.168540404E9</v>
      </c>
      <c r="G244" s="2" t="s">
        <v>44</v>
      </c>
      <c r="H244" s="2" t="s">
        <v>59</v>
      </c>
      <c r="I244" s="2" t="s">
        <v>275</v>
      </c>
      <c r="J244" s="2" t="s">
        <v>57</v>
      </c>
    </row>
    <row r="245">
      <c r="A245" s="3">
        <v>89148.0</v>
      </c>
      <c r="B245" s="2" t="s">
        <v>1963</v>
      </c>
      <c r="C245" s="5">
        <v>46101.47903935185</v>
      </c>
      <c r="D245" s="2" t="s">
        <v>1356</v>
      </c>
      <c r="E245" s="2" t="s">
        <v>1964</v>
      </c>
      <c r="F245" s="3">
        <v>9.90019415E9</v>
      </c>
      <c r="G245" s="2" t="s">
        <v>44</v>
      </c>
      <c r="H245" s="2" t="s">
        <v>43</v>
      </c>
      <c r="I245" s="2" t="s">
        <v>42</v>
      </c>
      <c r="J245" s="2" t="s">
        <v>57</v>
      </c>
    </row>
    <row r="246">
      <c r="A246" s="3">
        <v>89149.0</v>
      </c>
      <c r="B246" s="2" t="s">
        <v>1965</v>
      </c>
      <c r="C246" s="5">
        <v>46101.529074074075</v>
      </c>
      <c r="D246" s="2" t="s">
        <v>1356</v>
      </c>
      <c r="E246" s="2" t="s">
        <v>1966</v>
      </c>
      <c r="F246" s="6" t="str">
        <f>+91 8318279345</f>
        <v>#ERROR!</v>
      </c>
      <c r="G246" s="2" t="s">
        <v>44</v>
      </c>
      <c r="H246" s="2" t="s">
        <v>65</v>
      </c>
      <c r="I246" s="2" t="s">
        <v>1933</v>
      </c>
      <c r="J246" s="2" t="s">
        <v>57</v>
      </c>
    </row>
    <row r="247">
      <c r="A247" s="3">
        <v>89155.0</v>
      </c>
      <c r="B247" s="2" t="s">
        <v>1967</v>
      </c>
      <c r="C247" s="5">
        <v>46101.707337962966</v>
      </c>
      <c r="D247" s="2" t="s">
        <v>1356</v>
      </c>
      <c r="E247" s="2" t="s">
        <v>1968</v>
      </c>
      <c r="F247" s="3">
        <v>9.91664381E9</v>
      </c>
      <c r="G247" s="2" t="s">
        <v>44</v>
      </c>
      <c r="H247" s="2" t="s">
        <v>43</v>
      </c>
      <c r="I247" s="2" t="s">
        <v>42</v>
      </c>
      <c r="J247" s="2" t="s">
        <v>57</v>
      </c>
    </row>
    <row r="248">
      <c r="A248" s="3">
        <v>89156.0</v>
      </c>
      <c r="B248" s="2" t="s">
        <v>1969</v>
      </c>
      <c r="C248" s="5">
        <v>46101.72375</v>
      </c>
      <c r="D248" s="2" t="s">
        <v>1363</v>
      </c>
      <c r="E248" s="2" t="s">
        <v>1970</v>
      </c>
      <c r="F248" s="3">
        <v>8.580993425E9</v>
      </c>
      <c r="G248" s="2" t="s">
        <v>44</v>
      </c>
      <c r="H248" s="2" t="s">
        <v>1085</v>
      </c>
      <c r="I248" s="2" t="s">
        <v>1971</v>
      </c>
      <c r="J248" s="2" t="s">
        <v>57</v>
      </c>
    </row>
    <row r="249">
      <c r="A249" s="3">
        <v>89157.0</v>
      </c>
      <c r="B249" s="2" t="s">
        <v>1972</v>
      </c>
      <c r="C249" s="5">
        <v>46101.75100694445</v>
      </c>
      <c r="D249" s="2" t="s">
        <v>1356</v>
      </c>
      <c r="E249" s="2" t="s">
        <v>1973</v>
      </c>
      <c r="F249" s="3">
        <v>9.95818349E9</v>
      </c>
      <c r="G249" s="2" t="s">
        <v>44</v>
      </c>
      <c r="H249" s="2" t="s">
        <v>121</v>
      </c>
      <c r="I249" s="2" t="s">
        <v>120</v>
      </c>
      <c r="J249" s="2" t="s">
        <v>57</v>
      </c>
    </row>
    <row r="250">
      <c r="A250" s="3">
        <v>89158.0</v>
      </c>
      <c r="B250" s="2" t="s">
        <v>1974</v>
      </c>
      <c r="C250" s="5">
        <v>46101.789085648146</v>
      </c>
      <c r="D250" s="2" t="s">
        <v>1356</v>
      </c>
      <c r="E250" s="2" t="s">
        <v>1975</v>
      </c>
      <c r="F250" s="3">
        <v>9.073854684E9</v>
      </c>
      <c r="G250" s="2" t="s">
        <v>44</v>
      </c>
      <c r="H250" s="2" t="s">
        <v>220</v>
      </c>
      <c r="I250" s="2" t="s">
        <v>219</v>
      </c>
      <c r="J250" s="2" t="s">
        <v>57</v>
      </c>
    </row>
    <row r="251">
      <c r="A251" s="3">
        <v>89159.0</v>
      </c>
      <c r="B251" s="2" t="s">
        <v>1976</v>
      </c>
      <c r="C251" s="5">
        <v>46101.878854166665</v>
      </c>
      <c r="D251" s="2" t="s">
        <v>1356</v>
      </c>
      <c r="E251" s="2" t="s">
        <v>1977</v>
      </c>
      <c r="F251" s="3">
        <v>8.147177827E9</v>
      </c>
      <c r="G251" s="2" t="s">
        <v>44</v>
      </c>
      <c r="H251" s="2" t="s">
        <v>65</v>
      </c>
      <c r="I251" s="2" t="s">
        <v>1978</v>
      </c>
      <c r="J251" s="2" t="s">
        <v>57</v>
      </c>
    </row>
    <row r="252">
      <c r="A252" s="3">
        <v>89160.0</v>
      </c>
      <c r="B252" s="2" t="s">
        <v>1979</v>
      </c>
      <c r="C252" s="5">
        <v>46101.88197916667</v>
      </c>
      <c r="D252" s="2" t="s">
        <v>1356</v>
      </c>
      <c r="E252" s="2" t="s">
        <v>1980</v>
      </c>
      <c r="F252" s="3">
        <v>9.891500902E9</v>
      </c>
      <c r="G252" s="2" t="s">
        <v>44</v>
      </c>
      <c r="H252" s="2" t="s">
        <v>65</v>
      </c>
      <c r="I252" s="2" t="s">
        <v>332</v>
      </c>
      <c r="J252" s="2" t="s">
        <v>57</v>
      </c>
    </row>
    <row r="253">
      <c r="A253" s="3">
        <v>89161.0</v>
      </c>
      <c r="B253" s="2" t="s">
        <v>1981</v>
      </c>
      <c r="C253" s="5">
        <v>46101.89913194445</v>
      </c>
      <c r="D253" s="2" t="s">
        <v>1356</v>
      </c>
      <c r="E253" s="2" t="s">
        <v>1982</v>
      </c>
      <c r="F253" s="3">
        <v>9.03657101E9</v>
      </c>
      <c r="G253" s="2" t="s">
        <v>44</v>
      </c>
      <c r="H253" s="2" t="s">
        <v>43</v>
      </c>
      <c r="I253" s="2" t="s">
        <v>42</v>
      </c>
      <c r="J253" s="2" t="s">
        <v>57</v>
      </c>
    </row>
    <row r="254">
      <c r="A254" s="3">
        <v>89162.0</v>
      </c>
      <c r="B254" s="2" t="s">
        <v>1983</v>
      </c>
      <c r="C254" s="5">
        <v>46101.95722222222</v>
      </c>
      <c r="D254" s="2" t="s">
        <v>1356</v>
      </c>
      <c r="E254" s="2" t="s">
        <v>1984</v>
      </c>
      <c r="F254" s="3">
        <v>9.876387711E9</v>
      </c>
      <c r="G254" s="2" t="s">
        <v>44</v>
      </c>
      <c r="H254" s="2" t="s">
        <v>59</v>
      </c>
      <c r="I254" s="2" t="s">
        <v>156</v>
      </c>
      <c r="J254" s="2" t="s">
        <v>57</v>
      </c>
    </row>
    <row r="255">
      <c r="A255" s="3">
        <v>89163.0</v>
      </c>
      <c r="B255" s="2" t="s">
        <v>1985</v>
      </c>
      <c r="C255" s="5">
        <v>46102.03261574074</v>
      </c>
      <c r="D255" s="2" t="s">
        <v>1356</v>
      </c>
      <c r="E255" s="2" t="s">
        <v>1986</v>
      </c>
      <c r="F255" s="3">
        <v>8.601689753E9</v>
      </c>
      <c r="G255" s="2" t="s">
        <v>44</v>
      </c>
      <c r="H255" s="2" t="s">
        <v>43</v>
      </c>
      <c r="I255" s="2" t="s">
        <v>42</v>
      </c>
      <c r="J255" s="2" t="s">
        <v>57</v>
      </c>
    </row>
    <row r="256">
      <c r="A256" s="3">
        <v>89164.0</v>
      </c>
      <c r="B256" s="2" t="s">
        <v>1987</v>
      </c>
      <c r="C256" s="5">
        <v>46102.388761574075</v>
      </c>
      <c r="D256" s="2" t="s">
        <v>1363</v>
      </c>
      <c r="E256" s="2" t="s">
        <v>1988</v>
      </c>
      <c r="F256" s="3">
        <v>7.415587105E9</v>
      </c>
      <c r="G256" s="2" t="s">
        <v>44</v>
      </c>
      <c r="H256" s="2" t="s">
        <v>65</v>
      </c>
      <c r="I256" s="2" t="s">
        <v>136</v>
      </c>
      <c r="J256" s="2" t="s">
        <v>57</v>
      </c>
    </row>
    <row r="257">
      <c r="A257" s="3">
        <v>89165.0</v>
      </c>
      <c r="B257" s="2" t="s">
        <v>1989</v>
      </c>
      <c r="C257" s="5">
        <v>46102.40578703704</v>
      </c>
      <c r="D257" s="2" t="s">
        <v>1356</v>
      </c>
      <c r="E257" s="2" t="s">
        <v>1990</v>
      </c>
      <c r="F257" s="3">
        <v>8.310286959E9</v>
      </c>
      <c r="G257" s="2" t="s">
        <v>44</v>
      </c>
      <c r="H257" s="2" t="s">
        <v>43</v>
      </c>
      <c r="I257" s="2" t="s">
        <v>1991</v>
      </c>
      <c r="J257" s="2" t="s">
        <v>57</v>
      </c>
    </row>
    <row r="258">
      <c r="A258" s="3">
        <v>89166.0</v>
      </c>
      <c r="B258" s="2" t="s">
        <v>1992</v>
      </c>
      <c r="C258" s="5">
        <v>46102.482569444444</v>
      </c>
      <c r="D258" s="2" t="s">
        <v>1356</v>
      </c>
      <c r="E258" s="2" t="s">
        <v>1993</v>
      </c>
      <c r="F258" s="3">
        <v>8.869076159E9</v>
      </c>
      <c r="G258" s="2" t="s">
        <v>44</v>
      </c>
      <c r="H258" s="2" t="s">
        <v>65</v>
      </c>
      <c r="I258" s="2" t="s">
        <v>1462</v>
      </c>
      <c r="J258" s="2" t="s">
        <v>57</v>
      </c>
    </row>
    <row r="259">
      <c r="A259" s="3">
        <v>89167.0</v>
      </c>
      <c r="B259" s="2" t="s">
        <v>1994</v>
      </c>
      <c r="C259" s="5">
        <v>46102.508425925924</v>
      </c>
      <c r="D259" s="2" t="s">
        <v>1356</v>
      </c>
      <c r="E259" s="2" t="s">
        <v>1995</v>
      </c>
      <c r="F259" s="3">
        <v>9.31064605E9</v>
      </c>
      <c r="G259" s="2" t="s">
        <v>44</v>
      </c>
      <c r="H259" s="2" t="s">
        <v>65</v>
      </c>
      <c r="I259" s="2" t="s">
        <v>1996</v>
      </c>
      <c r="J259" s="2" t="s">
        <v>57</v>
      </c>
    </row>
    <row r="260">
      <c r="A260" s="3">
        <v>89168.0</v>
      </c>
      <c r="B260" s="2" t="s">
        <v>1997</v>
      </c>
      <c r="C260" s="5">
        <v>46102.51600694445</v>
      </c>
      <c r="D260" s="2" t="s">
        <v>1363</v>
      </c>
      <c r="E260" s="2" t="s">
        <v>1998</v>
      </c>
      <c r="F260" s="3">
        <v>8.89946088E9</v>
      </c>
      <c r="G260" s="2" t="s">
        <v>44</v>
      </c>
      <c r="H260" s="2" t="s">
        <v>88</v>
      </c>
      <c r="I260" s="2" t="s">
        <v>351</v>
      </c>
      <c r="J260" s="2" t="s">
        <v>57</v>
      </c>
    </row>
    <row r="261">
      <c r="A261" s="3">
        <v>89169.0</v>
      </c>
      <c r="B261" s="2" t="s">
        <v>1999</v>
      </c>
      <c r="C261" s="5">
        <v>46102.57295138889</v>
      </c>
      <c r="D261" s="2" t="s">
        <v>1363</v>
      </c>
      <c r="E261" s="2" t="s">
        <v>2000</v>
      </c>
      <c r="F261" s="3">
        <v>7.011674392E9</v>
      </c>
      <c r="G261" s="2" t="s">
        <v>44</v>
      </c>
      <c r="H261" s="2" t="s">
        <v>121</v>
      </c>
      <c r="I261" s="2" t="s">
        <v>120</v>
      </c>
      <c r="J261" s="6"/>
      <c r="K261" s="6"/>
    </row>
    <row r="262">
      <c r="A262" s="3">
        <v>89170.0</v>
      </c>
      <c r="B262" s="2" t="s">
        <v>2001</v>
      </c>
      <c r="C262" s="5">
        <v>46102.61619212963</v>
      </c>
      <c r="D262" s="2" t="s">
        <v>1363</v>
      </c>
      <c r="E262" s="2" t="s">
        <v>2002</v>
      </c>
      <c r="F262" s="3">
        <v>8.006207163E9</v>
      </c>
      <c r="G262" s="2" t="s">
        <v>44</v>
      </c>
      <c r="H262" s="2" t="s">
        <v>65</v>
      </c>
      <c r="I262" s="2" t="s">
        <v>1462</v>
      </c>
      <c r="J262" s="2" t="s">
        <v>57</v>
      </c>
    </row>
    <row r="263">
      <c r="A263" s="3">
        <v>89171.0</v>
      </c>
      <c r="B263" s="2" t="s">
        <v>2003</v>
      </c>
      <c r="C263" s="5">
        <v>46102.682592592595</v>
      </c>
      <c r="D263" s="2" t="s">
        <v>1363</v>
      </c>
      <c r="E263" s="2" t="s">
        <v>2004</v>
      </c>
      <c r="F263" s="3">
        <v>9.937163232E9</v>
      </c>
      <c r="G263" s="2" t="s">
        <v>44</v>
      </c>
      <c r="H263" s="2" t="s">
        <v>474</v>
      </c>
      <c r="I263" s="2" t="s">
        <v>1668</v>
      </c>
      <c r="J263" s="2" t="s">
        <v>557</v>
      </c>
    </row>
    <row r="264">
      <c r="A264" s="3">
        <v>89172.0</v>
      </c>
      <c r="B264" s="2" t="s">
        <v>2005</v>
      </c>
      <c r="C264" s="5">
        <v>46102.788125</v>
      </c>
      <c r="D264" s="2" t="s">
        <v>1356</v>
      </c>
      <c r="E264" s="2" t="s">
        <v>2006</v>
      </c>
      <c r="F264" s="3">
        <v>6.281560595E9</v>
      </c>
      <c r="G264" s="2" t="s">
        <v>44</v>
      </c>
      <c r="H264" s="2" t="s">
        <v>43</v>
      </c>
      <c r="I264" s="2" t="s">
        <v>2007</v>
      </c>
      <c r="J264" s="2" t="s">
        <v>57</v>
      </c>
    </row>
    <row r="265">
      <c r="A265" s="3">
        <v>89173.0</v>
      </c>
      <c r="B265" s="2" t="s">
        <v>2008</v>
      </c>
      <c r="C265" s="5">
        <v>46102.82430555556</v>
      </c>
      <c r="D265" s="2" t="s">
        <v>1363</v>
      </c>
      <c r="E265" s="2" t="s">
        <v>2009</v>
      </c>
      <c r="F265" s="3">
        <v>8.779605483E9</v>
      </c>
      <c r="G265" s="2" t="s">
        <v>44</v>
      </c>
      <c r="H265" s="2" t="s">
        <v>59</v>
      </c>
      <c r="I265" s="2" t="s">
        <v>2010</v>
      </c>
      <c r="J265" s="2" t="s">
        <v>57</v>
      </c>
    </row>
    <row r="266">
      <c r="A266" s="3">
        <v>89174.0</v>
      </c>
      <c r="B266" s="2" t="s">
        <v>2011</v>
      </c>
      <c r="C266" s="5">
        <v>46102.85084490741</v>
      </c>
      <c r="D266" s="2" t="s">
        <v>1363</v>
      </c>
      <c r="E266" s="2" t="s">
        <v>2012</v>
      </c>
      <c r="F266" s="3">
        <v>8.768704402E9</v>
      </c>
      <c r="G266" s="2" t="s">
        <v>44</v>
      </c>
      <c r="H266" s="2" t="s">
        <v>220</v>
      </c>
      <c r="I266" s="2" t="s">
        <v>1591</v>
      </c>
      <c r="J266" s="2" t="s">
        <v>57</v>
      </c>
    </row>
    <row r="267">
      <c r="A267" s="3">
        <v>89175.0</v>
      </c>
      <c r="B267" s="2" t="s">
        <v>2013</v>
      </c>
      <c r="C267" s="5">
        <v>46102.856412037036</v>
      </c>
      <c r="D267" s="2" t="s">
        <v>1363</v>
      </c>
      <c r="E267" s="2" t="s">
        <v>2014</v>
      </c>
      <c r="F267" s="3">
        <v>7.010466575E9</v>
      </c>
      <c r="G267" s="2" t="s">
        <v>44</v>
      </c>
      <c r="H267" s="2" t="s">
        <v>110</v>
      </c>
      <c r="I267" s="2" t="s">
        <v>2015</v>
      </c>
      <c r="J267" s="2" t="s">
        <v>57</v>
      </c>
    </row>
    <row r="268">
      <c r="A268" s="3">
        <v>89176.0</v>
      </c>
      <c r="B268" s="2" t="s">
        <v>2016</v>
      </c>
      <c r="C268" s="5">
        <v>46102.911770833336</v>
      </c>
      <c r="D268" s="2" t="s">
        <v>1356</v>
      </c>
      <c r="E268" s="2" t="s">
        <v>2017</v>
      </c>
      <c r="F268" s="3">
        <v>7.99412913E9</v>
      </c>
      <c r="G268" s="2" t="s">
        <v>44</v>
      </c>
      <c r="H268" s="2" t="s">
        <v>663</v>
      </c>
      <c r="I268" s="2" t="s">
        <v>1375</v>
      </c>
      <c r="J268" s="2" t="s">
        <v>57</v>
      </c>
    </row>
    <row r="269">
      <c r="A269" s="3">
        <v>89177.0</v>
      </c>
      <c r="B269" s="2" t="s">
        <v>2018</v>
      </c>
      <c r="C269" s="5">
        <v>46102.94771990741</v>
      </c>
      <c r="D269" s="2" t="s">
        <v>1356</v>
      </c>
      <c r="E269" s="2" t="s">
        <v>2019</v>
      </c>
      <c r="F269" s="3">
        <v>9.948175E9</v>
      </c>
      <c r="G269" s="2" t="s">
        <v>44</v>
      </c>
      <c r="H269" s="2" t="s">
        <v>128</v>
      </c>
      <c r="I269" s="2" t="s">
        <v>504</v>
      </c>
      <c r="J269" s="2" t="s">
        <v>57</v>
      </c>
    </row>
    <row r="270">
      <c r="A270" s="3">
        <v>89178.0</v>
      </c>
      <c r="B270" s="2" t="s">
        <v>2020</v>
      </c>
      <c r="C270" s="5">
        <v>46103.007743055554</v>
      </c>
      <c r="D270" s="2" t="s">
        <v>1363</v>
      </c>
      <c r="E270" s="2" t="s">
        <v>2021</v>
      </c>
      <c r="F270" s="10">
        <v>1.5109E10</v>
      </c>
      <c r="G270" s="2" t="s">
        <v>533</v>
      </c>
      <c r="H270" s="2" t="s">
        <v>1498</v>
      </c>
      <c r="I270" s="2" t="s">
        <v>1681</v>
      </c>
      <c r="J270" s="2" t="s">
        <v>57</v>
      </c>
    </row>
    <row r="271">
      <c r="A271" s="3">
        <v>89179.0</v>
      </c>
      <c r="B271" s="2" t="s">
        <v>2022</v>
      </c>
      <c r="C271" s="5">
        <v>46103.10748842593</v>
      </c>
      <c r="D271" s="2" t="s">
        <v>1356</v>
      </c>
      <c r="E271" s="2" t="s">
        <v>2023</v>
      </c>
      <c r="F271" s="10">
        <v>1.2017E10</v>
      </c>
      <c r="G271" s="2" t="s">
        <v>533</v>
      </c>
      <c r="H271" s="2" t="s">
        <v>1570</v>
      </c>
      <c r="I271" s="2" t="s">
        <v>1571</v>
      </c>
      <c r="J271" s="2" t="s">
        <v>57</v>
      </c>
    </row>
    <row r="272">
      <c r="A272" s="3">
        <v>89180.0</v>
      </c>
      <c r="B272" s="2" t="s">
        <v>2024</v>
      </c>
      <c r="C272" s="5">
        <v>46103.360613425924</v>
      </c>
      <c r="D272" s="2" t="s">
        <v>1363</v>
      </c>
      <c r="E272" s="2" t="s">
        <v>2025</v>
      </c>
      <c r="F272" s="3">
        <v>7.845986578E9</v>
      </c>
      <c r="G272" s="2" t="s">
        <v>44</v>
      </c>
      <c r="H272" s="2" t="s">
        <v>59</v>
      </c>
      <c r="I272" s="2" t="s">
        <v>275</v>
      </c>
      <c r="J272" s="2" t="s">
        <v>57</v>
      </c>
    </row>
    <row r="273">
      <c r="A273" s="3">
        <v>89181.0</v>
      </c>
      <c r="B273" s="2" t="s">
        <v>2026</v>
      </c>
      <c r="C273" s="5">
        <v>46103.41694444444</v>
      </c>
      <c r="D273" s="2" t="s">
        <v>1363</v>
      </c>
      <c r="E273" s="2" t="s">
        <v>2027</v>
      </c>
      <c r="F273" s="3">
        <v>6.35936636E9</v>
      </c>
      <c r="G273" s="2" t="s">
        <v>44</v>
      </c>
      <c r="H273" s="2" t="s">
        <v>88</v>
      </c>
      <c r="I273" s="2" t="s">
        <v>87</v>
      </c>
      <c r="J273" s="2" t="s">
        <v>57</v>
      </c>
    </row>
    <row r="274">
      <c r="A274" s="3">
        <v>89182.0</v>
      </c>
      <c r="B274" s="2" t="s">
        <v>2028</v>
      </c>
      <c r="C274" s="5">
        <v>46103.43138888889</v>
      </c>
      <c r="D274" s="2" t="s">
        <v>1356</v>
      </c>
      <c r="E274" s="2" t="s">
        <v>2029</v>
      </c>
      <c r="F274" s="3">
        <v>7.077422307E9</v>
      </c>
      <c r="G274" s="2" t="s">
        <v>44</v>
      </c>
      <c r="H274" s="2" t="s">
        <v>43</v>
      </c>
      <c r="I274" s="2" t="s">
        <v>42</v>
      </c>
      <c r="J274" s="2" t="s">
        <v>57</v>
      </c>
    </row>
    <row r="275">
      <c r="A275" s="3">
        <v>89183.0</v>
      </c>
      <c r="B275" s="2" t="s">
        <v>2030</v>
      </c>
      <c r="C275" s="5">
        <v>46103.48299768518</v>
      </c>
      <c r="D275" s="2" t="s">
        <v>1356</v>
      </c>
      <c r="E275" s="2" t="s">
        <v>2031</v>
      </c>
      <c r="F275" s="3">
        <v>8.171718415E9</v>
      </c>
      <c r="G275" s="2" t="s">
        <v>44</v>
      </c>
      <c r="H275" s="2" t="s">
        <v>65</v>
      </c>
      <c r="I275" s="2" t="s">
        <v>1710</v>
      </c>
      <c r="J275" s="2" t="s">
        <v>57</v>
      </c>
    </row>
    <row r="276">
      <c r="A276" s="3">
        <v>89184.0</v>
      </c>
      <c r="B276" s="2" t="s">
        <v>2032</v>
      </c>
      <c r="C276" s="5">
        <v>46103.59443287037</v>
      </c>
      <c r="D276" s="2" t="s">
        <v>1363</v>
      </c>
      <c r="E276" s="2" t="s">
        <v>2033</v>
      </c>
      <c r="F276" s="3">
        <v>9.589788952E9</v>
      </c>
      <c r="G276" s="2" t="s">
        <v>44</v>
      </c>
      <c r="H276" s="2" t="s">
        <v>286</v>
      </c>
      <c r="I276" s="2" t="s">
        <v>1904</v>
      </c>
      <c r="J276" s="2" t="s">
        <v>557</v>
      </c>
    </row>
    <row r="277">
      <c r="A277" s="3">
        <v>89185.0</v>
      </c>
      <c r="B277" s="2" t="s">
        <v>2034</v>
      </c>
      <c r="C277" s="5">
        <v>46103.74505787037</v>
      </c>
      <c r="D277" s="2" t="s">
        <v>1356</v>
      </c>
      <c r="E277" s="2" t="s">
        <v>2035</v>
      </c>
      <c r="F277" s="3">
        <v>9.342733871E9</v>
      </c>
      <c r="G277" s="2" t="s">
        <v>44</v>
      </c>
      <c r="H277" s="2" t="s">
        <v>110</v>
      </c>
      <c r="I277" s="2" t="s">
        <v>191</v>
      </c>
      <c r="J277" s="2" t="s">
        <v>57</v>
      </c>
    </row>
    <row r="278">
      <c r="A278" s="3">
        <v>89186.0</v>
      </c>
      <c r="B278" s="2" t="s">
        <v>2036</v>
      </c>
      <c r="C278" s="5">
        <v>46103.784224537034</v>
      </c>
      <c r="D278" s="2" t="s">
        <v>1356</v>
      </c>
      <c r="E278" s="2" t="s">
        <v>2037</v>
      </c>
      <c r="F278" s="3">
        <v>6.264753597E9</v>
      </c>
      <c r="G278" s="2" t="s">
        <v>44</v>
      </c>
      <c r="H278" s="2" t="s">
        <v>121</v>
      </c>
      <c r="I278" s="2" t="s">
        <v>121</v>
      </c>
      <c r="J278" s="2" t="s">
        <v>57</v>
      </c>
    </row>
    <row r="279">
      <c r="A279" s="3">
        <v>89187.0</v>
      </c>
      <c r="B279" s="2" t="s">
        <v>2038</v>
      </c>
      <c r="C279" s="5">
        <v>46103.945393518516</v>
      </c>
      <c r="D279" s="2" t="s">
        <v>1363</v>
      </c>
      <c r="E279" s="2" t="s">
        <v>2039</v>
      </c>
      <c r="F279" s="3">
        <v>8.766900605E9</v>
      </c>
      <c r="G279" s="2" t="s">
        <v>44</v>
      </c>
      <c r="H279" s="2" t="s">
        <v>59</v>
      </c>
      <c r="I279" s="2" t="s">
        <v>275</v>
      </c>
      <c r="J279" s="2" t="s">
        <v>57</v>
      </c>
    </row>
    <row r="280">
      <c r="A280" s="3">
        <v>89188.0</v>
      </c>
      <c r="B280" s="2" t="s">
        <v>2040</v>
      </c>
      <c r="C280" s="5">
        <v>46103.96849537037</v>
      </c>
      <c r="D280" s="2" t="s">
        <v>1363</v>
      </c>
      <c r="E280" s="2" t="s">
        <v>2041</v>
      </c>
      <c r="F280" s="3">
        <v>9.205500979E9</v>
      </c>
      <c r="G280" s="2" t="s">
        <v>44</v>
      </c>
      <c r="H280" s="2" t="s">
        <v>121</v>
      </c>
      <c r="I280" s="2" t="s">
        <v>120</v>
      </c>
      <c r="J280" s="2" t="s">
        <v>57</v>
      </c>
    </row>
    <row r="281">
      <c r="A281" s="3">
        <v>89189.0</v>
      </c>
      <c r="B281" s="2" t="s">
        <v>2042</v>
      </c>
      <c r="C281" s="5">
        <v>46103.98274305555</v>
      </c>
      <c r="D281" s="2" t="s">
        <v>1356</v>
      </c>
      <c r="E281" s="2" t="s">
        <v>2043</v>
      </c>
      <c r="F281" s="2" t="s">
        <v>2044</v>
      </c>
      <c r="G281" s="2" t="s">
        <v>44</v>
      </c>
      <c r="H281" s="2" t="s">
        <v>43</v>
      </c>
      <c r="I281" s="2" t="s">
        <v>42</v>
      </c>
      <c r="J281" s="2" t="s">
        <v>57</v>
      </c>
    </row>
    <row r="282">
      <c r="A282" s="3">
        <v>89190.0</v>
      </c>
      <c r="B282" s="2" t="s">
        <v>1844</v>
      </c>
      <c r="C282" s="5">
        <v>46103.99314814815</v>
      </c>
      <c r="D282" s="2" t="s">
        <v>1356</v>
      </c>
      <c r="E282" s="2" t="s">
        <v>2045</v>
      </c>
      <c r="F282" s="3">
        <v>8.370849188E9</v>
      </c>
      <c r="G282" s="2" t="s">
        <v>44</v>
      </c>
      <c r="H282" s="2" t="s">
        <v>220</v>
      </c>
      <c r="I282" s="2" t="s">
        <v>219</v>
      </c>
      <c r="J282" s="2" t="s">
        <v>57</v>
      </c>
    </row>
    <row r="283">
      <c r="A283" s="3">
        <v>89191.0</v>
      </c>
      <c r="B283" s="2" t="s">
        <v>2046</v>
      </c>
      <c r="C283" s="5">
        <v>46104.00822916667</v>
      </c>
      <c r="D283" s="2" t="s">
        <v>1363</v>
      </c>
      <c r="E283" s="2" t="s">
        <v>2047</v>
      </c>
      <c r="F283" s="3">
        <v>7.479460815E9</v>
      </c>
      <c r="G283" s="2" t="s">
        <v>1159</v>
      </c>
      <c r="H283" s="2" t="s">
        <v>2048</v>
      </c>
      <c r="I283" s="2" t="s">
        <v>2049</v>
      </c>
      <c r="J283" s="2" t="s">
        <v>57</v>
      </c>
    </row>
    <row r="284">
      <c r="A284" s="3">
        <v>89192.0</v>
      </c>
      <c r="B284" s="2" t="s">
        <v>2050</v>
      </c>
      <c r="C284" s="5">
        <v>46104.09193287037</v>
      </c>
      <c r="D284" s="2" t="s">
        <v>1356</v>
      </c>
      <c r="E284" s="2" t="s">
        <v>2051</v>
      </c>
      <c r="F284" s="3">
        <v>9.686440823E9</v>
      </c>
      <c r="G284" s="2" t="s">
        <v>533</v>
      </c>
      <c r="H284" s="2" t="s">
        <v>532</v>
      </c>
      <c r="I284" s="2" t="s">
        <v>531</v>
      </c>
      <c r="J284" s="2" t="s">
        <v>57</v>
      </c>
    </row>
    <row r="285">
      <c r="A285" s="3">
        <v>89193.0</v>
      </c>
      <c r="B285" s="2" t="s">
        <v>2052</v>
      </c>
      <c r="C285" s="5">
        <v>46104.37755787037</v>
      </c>
      <c r="D285" s="2" t="s">
        <v>1356</v>
      </c>
      <c r="E285" s="2" t="s">
        <v>2053</v>
      </c>
      <c r="F285" s="6" t="str">
        <f>+1 8176506448</f>
        <v>#ERROR!</v>
      </c>
      <c r="G285" s="2" t="s">
        <v>533</v>
      </c>
      <c r="H285" s="2" t="s">
        <v>1570</v>
      </c>
      <c r="I285" s="2" t="s">
        <v>2054</v>
      </c>
      <c r="J285" s="6"/>
      <c r="K285" s="6"/>
    </row>
    <row r="286">
      <c r="A286" s="3">
        <v>89194.0</v>
      </c>
      <c r="B286" s="2" t="s">
        <v>2055</v>
      </c>
      <c r="C286" s="5">
        <v>46104.405706018515</v>
      </c>
      <c r="D286" s="2" t="s">
        <v>1356</v>
      </c>
      <c r="E286" s="2" t="s">
        <v>2056</v>
      </c>
      <c r="F286" s="3">
        <v>9.833424155E9</v>
      </c>
      <c r="G286" s="2" t="s">
        <v>44</v>
      </c>
      <c r="H286" s="2" t="s">
        <v>59</v>
      </c>
      <c r="I286" s="2" t="s">
        <v>275</v>
      </c>
      <c r="J286" s="2" t="s">
        <v>57</v>
      </c>
    </row>
    <row r="287">
      <c r="A287" s="3">
        <v>89195.0</v>
      </c>
      <c r="B287" s="2" t="s">
        <v>2057</v>
      </c>
      <c r="C287" s="5">
        <v>46104.47892361111</v>
      </c>
      <c r="D287" s="2" t="s">
        <v>1363</v>
      </c>
      <c r="E287" s="2" t="s">
        <v>2058</v>
      </c>
      <c r="F287" s="3">
        <v>7.000538155E9</v>
      </c>
      <c r="G287" s="2" t="s">
        <v>44</v>
      </c>
      <c r="H287" s="2" t="s">
        <v>121</v>
      </c>
      <c r="I287" s="2" t="s">
        <v>121</v>
      </c>
      <c r="J287" s="2" t="s">
        <v>57</v>
      </c>
    </row>
    <row r="288">
      <c r="A288" s="3">
        <v>89196.0</v>
      </c>
      <c r="B288" s="2" t="s">
        <v>2059</v>
      </c>
      <c r="C288" s="5">
        <v>46104.48607638889</v>
      </c>
      <c r="D288" s="2" t="s">
        <v>1363</v>
      </c>
      <c r="E288" s="2" t="s">
        <v>2060</v>
      </c>
      <c r="F288" s="3">
        <v>9.985401948E9</v>
      </c>
      <c r="G288" s="2" t="s">
        <v>44</v>
      </c>
      <c r="H288" s="2" t="s">
        <v>128</v>
      </c>
      <c r="I288" s="2" t="s">
        <v>127</v>
      </c>
      <c r="J288" s="2" t="s">
        <v>57</v>
      </c>
    </row>
    <row r="289">
      <c r="A289" s="3">
        <v>89197.0</v>
      </c>
      <c r="B289" s="2" t="s">
        <v>2061</v>
      </c>
      <c r="C289" s="5">
        <v>46104.49283564815</v>
      </c>
      <c r="D289" s="2" t="s">
        <v>1356</v>
      </c>
      <c r="E289" s="2" t="s">
        <v>2062</v>
      </c>
      <c r="F289" s="3">
        <v>6.303635489E9</v>
      </c>
      <c r="G289" s="2" t="s">
        <v>44</v>
      </c>
      <c r="H289" s="2" t="s">
        <v>128</v>
      </c>
      <c r="I289" s="2" t="s">
        <v>127</v>
      </c>
      <c r="J289" s="2" t="s">
        <v>57</v>
      </c>
    </row>
    <row r="290">
      <c r="A290" s="3">
        <v>89198.0</v>
      </c>
      <c r="B290" s="2" t="s">
        <v>2063</v>
      </c>
      <c r="C290" s="5">
        <v>46104.5053125</v>
      </c>
      <c r="D290" s="2" t="s">
        <v>1363</v>
      </c>
      <c r="E290" s="2" t="s">
        <v>2064</v>
      </c>
      <c r="F290" s="3">
        <v>6.398415567E9</v>
      </c>
      <c r="G290" s="2" t="s">
        <v>44</v>
      </c>
      <c r="H290" s="2" t="s">
        <v>65</v>
      </c>
      <c r="I290" s="2" t="s">
        <v>1713</v>
      </c>
      <c r="J290" s="2" t="s">
        <v>57</v>
      </c>
    </row>
    <row r="291">
      <c r="A291" s="3">
        <v>89199.0</v>
      </c>
      <c r="B291" s="2" t="s">
        <v>2065</v>
      </c>
      <c r="C291" s="5">
        <v>46104.569085648145</v>
      </c>
      <c r="D291" s="2" t="s">
        <v>1363</v>
      </c>
      <c r="E291" s="2" t="s">
        <v>2066</v>
      </c>
      <c r="F291" s="10">
        <v>8.5265E10</v>
      </c>
      <c r="G291" s="2" t="s">
        <v>2067</v>
      </c>
      <c r="H291" s="2" t="s">
        <v>2068</v>
      </c>
      <c r="I291" s="2" t="s">
        <v>2068</v>
      </c>
      <c r="J291" s="2" t="s">
        <v>57</v>
      </c>
    </row>
    <row r="292">
      <c r="A292" s="3">
        <v>89200.0</v>
      </c>
      <c r="B292" s="2" t="s">
        <v>2069</v>
      </c>
      <c r="C292" s="5">
        <v>46104.606354166666</v>
      </c>
      <c r="D292" s="2" t="s">
        <v>1356</v>
      </c>
      <c r="E292" s="2" t="s">
        <v>2070</v>
      </c>
      <c r="F292" s="3">
        <v>9.584645911E9</v>
      </c>
      <c r="G292" s="2" t="s">
        <v>44</v>
      </c>
      <c r="H292" s="2" t="s">
        <v>43</v>
      </c>
      <c r="I292" s="2" t="s">
        <v>42</v>
      </c>
      <c r="J292" s="2" t="s">
        <v>57</v>
      </c>
    </row>
    <row r="293">
      <c r="A293" s="3">
        <v>89201.0</v>
      </c>
      <c r="B293" s="2" t="s">
        <v>2071</v>
      </c>
      <c r="C293" s="5">
        <v>46104.639444444445</v>
      </c>
      <c r="D293" s="2" t="s">
        <v>1363</v>
      </c>
      <c r="E293" s="2" t="s">
        <v>2072</v>
      </c>
      <c r="F293" s="3">
        <v>7.007623436E9</v>
      </c>
      <c r="G293" s="2" t="s">
        <v>44</v>
      </c>
      <c r="H293" s="2" t="s">
        <v>65</v>
      </c>
      <c r="I293" s="2" t="s">
        <v>1996</v>
      </c>
      <c r="J293" s="2" t="s">
        <v>57</v>
      </c>
    </row>
    <row r="294">
      <c r="A294" s="3">
        <v>89202.0</v>
      </c>
      <c r="B294" s="2" t="s">
        <v>2073</v>
      </c>
      <c r="C294" s="5">
        <v>46104.682534722226</v>
      </c>
      <c r="D294" s="2" t="s">
        <v>1356</v>
      </c>
      <c r="E294" s="2" t="s">
        <v>2074</v>
      </c>
      <c r="F294" s="3">
        <v>8.805810163E9</v>
      </c>
      <c r="G294" s="2" t="s">
        <v>44</v>
      </c>
      <c r="H294" s="2" t="s">
        <v>2075</v>
      </c>
      <c r="I294" s="2" t="s">
        <v>2076</v>
      </c>
      <c r="K294" s="6"/>
    </row>
    <row r="295">
      <c r="A295" s="3">
        <v>89203.0</v>
      </c>
      <c r="B295" s="2" t="s">
        <v>2077</v>
      </c>
      <c r="C295" s="5">
        <v>46104.68413194444</v>
      </c>
      <c r="D295" s="2" t="s">
        <v>1356</v>
      </c>
      <c r="E295" s="2" t="s">
        <v>2078</v>
      </c>
      <c r="F295" s="3">
        <v>9.664439124E9</v>
      </c>
      <c r="G295" s="2" t="s">
        <v>44</v>
      </c>
      <c r="H295" s="2" t="s">
        <v>65</v>
      </c>
      <c r="I295" s="2" t="s">
        <v>2079</v>
      </c>
      <c r="J295" s="2" t="s">
        <v>57</v>
      </c>
    </row>
    <row r="296">
      <c r="A296" s="3">
        <v>89204.0</v>
      </c>
      <c r="B296" s="2" t="s">
        <v>2080</v>
      </c>
      <c r="C296" s="5">
        <v>46104.72767361111</v>
      </c>
      <c r="D296" s="2" t="s">
        <v>1356</v>
      </c>
      <c r="E296" s="2" t="s">
        <v>2081</v>
      </c>
      <c r="F296" s="3">
        <v>7.054206111E9</v>
      </c>
      <c r="G296" s="2" t="s">
        <v>44</v>
      </c>
      <c r="H296" s="2" t="s">
        <v>128</v>
      </c>
      <c r="I296" s="2" t="s">
        <v>127</v>
      </c>
      <c r="J296" s="2" t="s">
        <v>57</v>
      </c>
    </row>
    <row r="297">
      <c r="A297" s="3">
        <v>89205.0</v>
      </c>
      <c r="B297" s="2" t="s">
        <v>2082</v>
      </c>
      <c r="C297" s="5">
        <v>46104.80457175926</v>
      </c>
      <c r="D297" s="2" t="s">
        <v>1356</v>
      </c>
      <c r="E297" s="2" t="s">
        <v>2083</v>
      </c>
      <c r="F297" s="3">
        <v>7.796848638E9</v>
      </c>
      <c r="G297" s="2" t="s">
        <v>44</v>
      </c>
      <c r="H297" s="2" t="s">
        <v>59</v>
      </c>
      <c r="I297" s="2" t="s">
        <v>275</v>
      </c>
      <c r="J297" s="2" t="s">
        <v>57</v>
      </c>
    </row>
    <row r="298">
      <c r="A298" s="3">
        <v>89206.0</v>
      </c>
      <c r="B298" s="2" t="s">
        <v>2084</v>
      </c>
      <c r="C298" s="5">
        <v>46104.87880787037</v>
      </c>
      <c r="D298" s="2" t="s">
        <v>1356</v>
      </c>
      <c r="E298" s="2" t="s">
        <v>2085</v>
      </c>
      <c r="F298" s="3">
        <v>7.248877982E9</v>
      </c>
      <c r="G298" s="2" t="s">
        <v>44</v>
      </c>
      <c r="H298" s="2" t="s">
        <v>65</v>
      </c>
      <c r="I298" s="2" t="s">
        <v>2086</v>
      </c>
      <c r="J298" s="2" t="s">
        <v>57</v>
      </c>
    </row>
    <row r="299">
      <c r="A299" s="3">
        <v>89207.0</v>
      </c>
      <c r="B299" s="2" t="s">
        <v>2087</v>
      </c>
      <c r="C299" s="5">
        <v>46104.91175925926</v>
      </c>
      <c r="D299" s="2" t="s">
        <v>1356</v>
      </c>
      <c r="E299" s="2" t="s">
        <v>2088</v>
      </c>
      <c r="F299" s="3">
        <v>7.980627015E9</v>
      </c>
      <c r="G299" s="2" t="s">
        <v>44</v>
      </c>
      <c r="H299" s="2" t="s">
        <v>220</v>
      </c>
      <c r="I299" s="2" t="s">
        <v>2089</v>
      </c>
      <c r="J299" s="2" t="s">
        <v>57</v>
      </c>
    </row>
    <row r="300">
      <c r="A300" s="3">
        <v>89208.0</v>
      </c>
      <c r="B300" s="2" t="s">
        <v>2090</v>
      </c>
      <c r="C300" s="5">
        <v>46104.92938657408</v>
      </c>
      <c r="D300" s="2" t="s">
        <v>1356</v>
      </c>
      <c r="E300" s="2" t="s">
        <v>2091</v>
      </c>
      <c r="F300" s="3">
        <v>9.717003414E9</v>
      </c>
      <c r="G300" s="2" t="s">
        <v>44</v>
      </c>
      <c r="H300" s="2" t="s">
        <v>121</v>
      </c>
      <c r="I300" s="2" t="s">
        <v>121</v>
      </c>
      <c r="J300" s="2" t="s">
        <v>57</v>
      </c>
    </row>
    <row r="301">
      <c r="A301" s="3">
        <v>89209.0</v>
      </c>
      <c r="B301" s="2" t="s">
        <v>2092</v>
      </c>
      <c r="C301" s="5">
        <v>46105.09982638889</v>
      </c>
      <c r="D301" s="2" t="s">
        <v>1363</v>
      </c>
      <c r="E301" s="2" t="s">
        <v>2093</v>
      </c>
      <c r="F301" s="3">
        <v>7.982913005E9</v>
      </c>
      <c r="G301" s="2" t="s">
        <v>44</v>
      </c>
      <c r="H301" s="2" t="s">
        <v>121</v>
      </c>
      <c r="I301" s="2" t="s">
        <v>120</v>
      </c>
      <c r="J301" s="2" t="s">
        <v>57</v>
      </c>
    </row>
    <row r="302">
      <c r="A302" s="3">
        <v>89210.0</v>
      </c>
      <c r="B302" s="2" t="s">
        <v>2094</v>
      </c>
      <c r="C302" s="5">
        <v>46105.427094907405</v>
      </c>
      <c r="D302" s="2" t="s">
        <v>1356</v>
      </c>
      <c r="E302" s="2" t="s">
        <v>2095</v>
      </c>
      <c r="F302" s="6" t="str">
        <f>+91 97 11 156009</f>
        <v>#ERROR!</v>
      </c>
      <c r="G302" s="2" t="s">
        <v>44</v>
      </c>
      <c r="H302" s="2" t="s">
        <v>513</v>
      </c>
      <c r="I302" s="2" t="s">
        <v>1627</v>
      </c>
      <c r="J302" s="2" t="s">
        <v>57</v>
      </c>
    </row>
    <row r="303">
      <c r="A303" s="3">
        <v>89211.0</v>
      </c>
      <c r="B303" s="2" t="s">
        <v>2096</v>
      </c>
      <c r="C303" s="5">
        <v>46105.451273148145</v>
      </c>
      <c r="D303" s="2" t="s">
        <v>1356</v>
      </c>
      <c r="E303" s="2" t="s">
        <v>2097</v>
      </c>
      <c r="F303" s="3">
        <v>9.619442576E9</v>
      </c>
      <c r="G303" s="2" t="s">
        <v>44</v>
      </c>
      <c r="H303" s="2" t="s">
        <v>59</v>
      </c>
      <c r="I303" s="2" t="s">
        <v>156</v>
      </c>
      <c r="J303" s="2" t="s">
        <v>57</v>
      </c>
    </row>
    <row r="304">
      <c r="A304" s="3">
        <v>89212.0</v>
      </c>
      <c r="B304" s="2" t="s">
        <v>2098</v>
      </c>
      <c r="C304" s="5">
        <v>46105.49400462963</v>
      </c>
      <c r="D304" s="2" t="s">
        <v>1356</v>
      </c>
      <c r="E304" s="2" t="s">
        <v>2099</v>
      </c>
      <c r="F304" s="3">
        <v>7.020945435E9</v>
      </c>
      <c r="G304" s="2" t="s">
        <v>44</v>
      </c>
      <c r="H304" s="2" t="s">
        <v>59</v>
      </c>
      <c r="I304" s="2" t="s">
        <v>156</v>
      </c>
      <c r="J304" s="2" t="s">
        <v>57</v>
      </c>
    </row>
    <row r="305">
      <c r="A305" s="3">
        <v>89213.0</v>
      </c>
      <c r="B305" s="2" t="s">
        <v>2100</v>
      </c>
      <c r="C305" s="5">
        <v>46105.50087962963</v>
      </c>
      <c r="D305" s="2" t="s">
        <v>1363</v>
      </c>
      <c r="E305" s="2" t="s">
        <v>2101</v>
      </c>
      <c r="F305" s="3">
        <v>8.471076623E9</v>
      </c>
      <c r="G305" s="2" t="s">
        <v>44</v>
      </c>
      <c r="H305" s="2" t="s">
        <v>121</v>
      </c>
      <c r="I305" s="2" t="s">
        <v>120</v>
      </c>
      <c r="J305" s="2" t="s">
        <v>57</v>
      </c>
    </row>
    <row r="306">
      <c r="A306" s="3">
        <v>89214.0</v>
      </c>
      <c r="B306" s="2" t="s">
        <v>2102</v>
      </c>
      <c r="C306" s="5">
        <v>46105.52207175926</v>
      </c>
      <c r="D306" s="2" t="s">
        <v>1363</v>
      </c>
      <c r="E306" s="2" t="s">
        <v>2103</v>
      </c>
      <c r="F306" s="3">
        <v>7.835975294E9</v>
      </c>
      <c r="G306" s="2" t="s">
        <v>44</v>
      </c>
      <c r="H306" s="2" t="s">
        <v>455</v>
      </c>
      <c r="I306" s="2" t="s">
        <v>2104</v>
      </c>
      <c r="J306" s="2" t="s">
        <v>57</v>
      </c>
    </row>
    <row r="307">
      <c r="A307" s="3">
        <v>89215.0</v>
      </c>
      <c r="B307" s="2" t="s">
        <v>2105</v>
      </c>
      <c r="C307" s="5">
        <v>46105.66641203704</v>
      </c>
      <c r="D307" s="2" t="s">
        <v>1363</v>
      </c>
      <c r="E307" s="2" t="s">
        <v>2106</v>
      </c>
      <c r="F307" s="3">
        <v>6.377015726E9</v>
      </c>
      <c r="G307" s="2" t="s">
        <v>44</v>
      </c>
      <c r="H307" s="2" t="s">
        <v>455</v>
      </c>
      <c r="I307" s="2" t="s">
        <v>454</v>
      </c>
      <c r="J307" s="2" t="s">
        <v>57</v>
      </c>
    </row>
    <row r="308">
      <c r="A308" s="3">
        <v>89216.0</v>
      </c>
      <c r="B308" s="2" t="s">
        <v>2107</v>
      </c>
      <c r="C308" s="5">
        <v>46105.740324074075</v>
      </c>
      <c r="D308" s="2" t="s">
        <v>1363</v>
      </c>
      <c r="E308" s="2" t="s">
        <v>2108</v>
      </c>
      <c r="F308" s="3">
        <v>6.2041628E9</v>
      </c>
      <c r="G308" s="2" t="s">
        <v>44</v>
      </c>
      <c r="H308" s="2" t="s">
        <v>1365</v>
      </c>
      <c r="I308" s="2" t="s">
        <v>2109</v>
      </c>
      <c r="J308" s="2" t="s">
        <v>57</v>
      </c>
    </row>
    <row r="309">
      <c r="A309" s="3">
        <v>89217.0</v>
      </c>
      <c r="B309" s="2" t="s">
        <v>2110</v>
      </c>
      <c r="C309" s="5">
        <v>46105.80726851852</v>
      </c>
      <c r="D309" s="2" t="s">
        <v>1363</v>
      </c>
      <c r="E309" s="2" t="s">
        <v>2111</v>
      </c>
      <c r="F309" s="3">
        <v>7.671895292E9</v>
      </c>
      <c r="G309" s="2" t="s">
        <v>44</v>
      </c>
      <c r="H309" s="2" t="s">
        <v>48</v>
      </c>
      <c r="I309" s="2" t="s">
        <v>761</v>
      </c>
      <c r="J309" s="2" t="s">
        <v>57</v>
      </c>
    </row>
    <row r="310">
      <c r="A310" s="3">
        <v>89218.0</v>
      </c>
      <c r="B310" s="2" t="s">
        <v>2112</v>
      </c>
      <c r="C310" s="5">
        <v>46106.01215277778</v>
      </c>
      <c r="D310" s="2" t="s">
        <v>1356</v>
      </c>
      <c r="E310" s="2" t="s">
        <v>2113</v>
      </c>
      <c r="F310" s="3">
        <v>9.301909995E9</v>
      </c>
      <c r="G310" s="2" t="s">
        <v>44</v>
      </c>
      <c r="H310" s="2" t="s">
        <v>1115</v>
      </c>
      <c r="I310" s="2" t="s">
        <v>2114</v>
      </c>
      <c r="J310" s="2" t="s">
        <v>57</v>
      </c>
    </row>
    <row r="311">
      <c r="A311" s="3">
        <v>89219.0</v>
      </c>
      <c r="B311" s="2" t="s">
        <v>2115</v>
      </c>
      <c r="C311" s="5">
        <v>46106.02276620371</v>
      </c>
      <c r="D311" s="2" t="s">
        <v>1363</v>
      </c>
      <c r="E311" s="2" t="s">
        <v>2116</v>
      </c>
      <c r="F311" s="3">
        <v>9.882813303E9</v>
      </c>
      <c r="G311" s="2" t="s">
        <v>44</v>
      </c>
      <c r="H311" s="2" t="s">
        <v>1085</v>
      </c>
      <c r="I311" s="2" t="s">
        <v>2117</v>
      </c>
      <c r="J311" s="2" t="s">
        <v>57</v>
      </c>
    </row>
    <row r="312">
      <c r="A312" s="3">
        <v>89220.0</v>
      </c>
      <c r="B312" s="2" t="s">
        <v>2118</v>
      </c>
      <c r="C312" s="5">
        <v>46106.02704861111</v>
      </c>
      <c r="D312" s="2" t="s">
        <v>1363</v>
      </c>
      <c r="E312" s="2" t="s">
        <v>2119</v>
      </c>
      <c r="F312" s="3">
        <v>8.88003302E9</v>
      </c>
      <c r="G312" s="2" t="s">
        <v>44</v>
      </c>
      <c r="H312" s="2" t="s">
        <v>43</v>
      </c>
      <c r="I312" s="2" t="s">
        <v>42</v>
      </c>
      <c r="J312" s="2" t="s">
        <v>57</v>
      </c>
    </row>
    <row r="313">
      <c r="A313" s="3">
        <v>89221.0</v>
      </c>
      <c r="B313" s="2" t="s">
        <v>2120</v>
      </c>
      <c r="C313" s="5">
        <v>46106.12329861111</v>
      </c>
      <c r="D313" s="2" t="s">
        <v>1356</v>
      </c>
      <c r="E313" s="2" t="s">
        <v>2121</v>
      </c>
      <c r="F313" s="3">
        <v>9.463328987E9</v>
      </c>
      <c r="G313" s="2" t="s">
        <v>44</v>
      </c>
      <c r="H313" s="2" t="s">
        <v>226</v>
      </c>
      <c r="I313" s="2" t="s">
        <v>2122</v>
      </c>
      <c r="J313" s="2" t="s">
        <v>57</v>
      </c>
    </row>
    <row r="314">
      <c r="A314" s="3">
        <v>89222.0</v>
      </c>
      <c r="B314" s="2" t="s">
        <v>2123</v>
      </c>
      <c r="C314" s="5">
        <v>46106.45174768518</v>
      </c>
      <c r="D314" s="2" t="s">
        <v>1363</v>
      </c>
      <c r="E314" s="2" t="s">
        <v>2124</v>
      </c>
      <c r="F314" s="3">
        <v>8.750064597E9</v>
      </c>
      <c r="G314" s="2" t="s">
        <v>44</v>
      </c>
      <c r="H314" s="2" t="s">
        <v>286</v>
      </c>
      <c r="I314" s="2" t="s">
        <v>1904</v>
      </c>
      <c r="J314" s="2" t="s">
        <v>57</v>
      </c>
    </row>
    <row r="315">
      <c r="A315" s="3">
        <v>89223.0</v>
      </c>
      <c r="B315" s="2" t="s">
        <v>2125</v>
      </c>
      <c r="C315" s="5">
        <v>46106.45798611111</v>
      </c>
      <c r="D315" s="2" t="s">
        <v>1356</v>
      </c>
      <c r="E315" s="2" t="s">
        <v>2126</v>
      </c>
      <c r="F315" s="3">
        <v>8.304095393E9</v>
      </c>
      <c r="G315" s="2" t="s">
        <v>44</v>
      </c>
      <c r="H315" s="2" t="s">
        <v>663</v>
      </c>
      <c r="I315" s="2" t="s">
        <v>1856</v>
      </c>
      <c r="J315" s="2" t="s">
        <v>57</v>
      </c>
    </row>
    <row r="316">
      <c r="A316" s="3">
        <v>89224.0</v>
      </c>
      <c r="B316" s="2" t="s">
        <v>2127</v>
      </c>
      <c r="C316" s="5">
        <v>46106.485555555555</v>
      </c>
      <c r="D316" s="2" t="s">
        <v>1356</v>
      </c>
      <c r="E316" s="2" t="s">
        <v>2128</v>
      </c>
      <c r="F316" s="6" t="str">
        <f>+1 5105985094</f>
        <v>#ERROR!</v>
      </c>
      <c r="G316" s="2" t="s">
        <v>533</v>
      </c>
      <c r="H316" s="2" t="s">
        <v>1498</v>
      </c>
      <c r="I316" s="2" t="s">
        <v>1681</v>
      </c>
      <c r="J316" s="2" t="s">
        <v>57</v>
      </c>
    </row>
    <row r="317">
      <c r="A317" s="3">
        <v>89225.0</v>
      </c>
      <c r="B317" s="2" t="s">
        <v>2129</v>
      </c>
      <c r="C317" s="5">
        <v>46106.49899305555</v>
      </c>
      <c r="D317" s="2" t="s">
        <v>1363</v>
      </c>
      <c r="E317" s="6"/>
      <c r="F317" s="6"/>
      <c r="G317" s="2" t="s">
        <v>44</v>
      </c>
      <c r="H317" s="2" t="s">
        <v>286</v>
      </c>
      <c r="I317" s="2" t="s">
        <v>2130</v>
      </c>
      <c r="J317" s="2" t="s">
        <v>57</v>
      </c>
    </row>
    <row r="318">
      <c r="A318" s="3">
        <v>89226.0</v>
      </c>
      <c r="B318" s="2" t="s">
        <v>2131</v>
      </c>
      <c r="C318" s="5">
        <v>46106.521782407406</v>
      </c>
      <c r="D318" s="2" t="s">
        <v>1356</v>
      </c>
      <c r="E318" s="2" t="s">
        <v>2132</v>
      </c>
      <c r="F318" s="3">
        <v>9.55768614E9</v>
      </c>
      <c r="G318" s="2" t="s">
        <v>44</v>
      </c>
      <c r="H318" s="2" t="s">
        <v>65</v>
      </c>
      <c r="I318" s="2" t="s">
        <v>618</v>
      </c>
      <c r="J318" s="2" t="s">
        <v>57</v>
      </c>
    </row>
    <row r="319">
      <c r="A319" s="3">
        <v>89227.0</v>
      </c>
      <c r="B319" s="2" t="s">
        <v>2133</v>
      </c>
      <c r="C319" s="5">
        <v>46106.55761574074</v>
      </c>
      <c r="D319" s="2" t="s">
        <v>1356</v>
      </c>
      <c r="E319" s="2" t="s">
        <v>2134</v>
      </c>
      <c r="F319" s="3">
        <v>8.85033202E9</v>
      </c>
      <c r="G319" s="2" t="s">
        <v>44</v>
      </c>
      <c r="H319" s="2" t="s">
        <v>59</v>
      </c>
      <c r="I319" s="2" t="s">
        <v>156</v>
      </c>
      <c r="J319" s="2" t="s">
        <v>57</v>
      </c>
    </row>
    <row r="320">
      <c r="A320" s="3">
        <v>89228.0</v>
      </c>
      <c r="B320" s="2" t="s">
        <v>2135</v>
      </c>
      <c r="C320" s="5">
        <v>46106.828125</v>
      </c>
      <c r="D320" s="2" t="s">
        <v>1363</v>
      </c>
      <c r="E320" s="2" t="s">
        <v>2136</v>
      </c>
      <c r="F320" s="10">
        <v>-8.901E9</v>
      </c>
      <c r="G320" s="2" t="s">
        <v>44</v>
      </c>
      <c r="H320" s="2" t="s">
        <v>2137</v>
      </c>
      <c r="I320" s="2" t="s">
        <v>2138</v>
      </c>
      <c r="J320" s="2" t="s">
        <v>57</v>
      </c>
    </row>
    <row r="321">
      <c r="A321" s="3">
        <v>89229.0</v>
      </c>
      <c r="B321" s="2" t="s">
        <v>2139</v>
      </c>
      <c r="C321" s="5">
        <v>46106.875289351854</v>
      </c>
      <c r="D321" s="2" t="s">
        <v>1363</v>
      </c>
      <c r="E321" s="2" t="s">
        <v>2140</v>
      </c>
      <c r="F321" s="3">
        <v>6.304354516E9</v>
      </c>
      <c r="G321" s="2" t="s">
        <v>44</v>
      </c>
      <c r="H321" s="2" t="s">
        <v>128</v>
      </c>
      <c r="I321" s="2" t="s">
        <v>2141</v>
      </c>
      <c r="J321" s="2" t="s">
        <v>2142</v>
      </c>
    </row>
    <row r="322">
      <c r="A322" s="3">
        <v>89230.0</v>
      </c>
      <c r="B322" s="2" t="s">
        <v>2143</v>
      </c>
      <c r="C322" s="5">
        <v>46106.91684027778</v>
      </c>
      <c r="D322" s="2" t="s">
        <v>1356</v>
      </c>
      <c r="E322" s="2" t="s">
        <v>2144</v>
      </c>
      <c r="F322" s="3">
        <v>8.595784583E9</v>
      </c>
      <c r="G322" s="2" t="s">
        <v>44</v>
      </c>
      <c r="H322" s="2" t="s">
        <v>121</v>
      </c>
      <c r="I322" s="2" t="s">
        <v>121</v>
      </c>
      <c r="J322" s="2" t="s">
        <v>57</v>
      </c>
    </row>
    <row r="323">
      <c r="A323" s="3">
        <v>89231.0</v>
      </c>
      <c r="B323" s="2" t="s">
        <v>2145</v>
      </c>
      <c r="C323" s="5">
        <v>46106.924895833334</v>
      </c>
      <c r="D323" s="2" t="s">
        <v>1363</v>
      </c>
      <c r="E323" s="6"/>
      <c r="F323" s="6"/>
      <c r="G323" s="2" t="s">
        <v>44</v>
      </c>
      <c r="H323" s="2" t="s">
        <v>65</v>
      </c>
      <c r="I323" s="2" t="s">
        <v>1950</v>
      </c>
      <c r="J323" s="2" t="s">
        <v>57</v>
      </c>
    </row>
    <row r="324">
      <c r="A324" s="3">
        <v>89232.0</v>
      </c>
      <c r="B324" s="2" t="s">
        <v>2146</v>
      </c>
      <c r="C324" s="5">
        <v>46106.97893518519</v>
      </c>
      <c r="D324" s="2" t="s">
        <v>1356</v>
      </c>
      <c r="E324" s="2" t="s">
        <v>2147</v>
      </c>
      <c r="F324" s="3">
        <v>6.00504961E9</v>
      </c>
      <c r="G324" s="2" t="s">
        <v>44</v>
      </c>
      <c r="H324" s="2" t="s">
        <v>2148</v>
      </c>
      <c r="I324" s="2" t="s">
        <v>2149</v>
      </c>
      <c r="J324" s="2" t="s">
        <v>57</v>
      </c>
    </row>
    <row r="325">
      <c r="A325" s="3">
        <v>89233.0</v>
      </c>
      <c r="B325" s="2" t="s">
        <v>2150</v>
      </c>
      <c r="C325" s="5">
        <v>46107.36685185185</v>
      </c>
      <c r="D325" s="2" t="s">
        <v>1356</v>
      </c>
      <c r="E325" s="2" t="s">
        <v>2151</v>
      </c>
      <c r="F325" s="3">
        <v>6.352282846E9</v>
      </c>
      <c r="G325" s="2" t="s">
        <v>44</v>
      </c>
      <c r="H325" s="2" t="s">
        <v>43</v>
      </c>
      <c r="I325" s="2" t="s">
        <v>42</v>
      </c>
      <c r="J325" s="2" t="s">
        <v>57</v>
      </c>
    </row>
    <row r="326">
      <c r="A326" s="3">
        <v>89234.0</v>
      </c>
      <c r="B326" s="2" t="s">
        <v>2152</v>
      </c>
      <c r="C326" s="5">
        <v>46107.41793981481</v>
      </c>
      <c r="D326" s="2" t="s">
        <v>1363</v>
      </c>
      <c r="E326" s="2" t="s">
        <v>2153</v>
      </c>
      <c r="F326" s="3">
        <v>6.304111258E9</v>
      </c>
      <c r="G326" s="2" t="s">
        <v>44</v>
      </c>
      <c r="H326" s="2" t="s">
        <v>128</v>
      </c>
      <c r="I326" s="2" t="s">
        <v>127</v>
      </c>
      <c r="J326" s="2" t="s">
        <v>57</v>
      </c>
    </row>
    <row r="327">
      <c r="A327" s="3">
        <v>89235.0</v>
      </c>
      <c r="B327" s="2" t="s">
        <v>2154</v>
      </c>
      <c r="C327" s="5">
        <v>46107.45050925926</v>
      </c>
      <c r="D327" s="2" t="s">
        <v>1363</v>
      </c>
      <c r="E327" s="2" t="s">
        <v>2155</v>
      </c>
      <c r="F327" s="3">
        <v>7.357484896E9</v>
      </c>
      <c r="G327" s="2" t="s">
        <v>44</v>
      </c>
      <c r="H327" s="2" t="s">
        <v>286</v>
      </c>
      <c r="I327" s="2" t="s">
        <v>2156</v>
      </c>
      <c r="J327" s="2" t="s">
        <v>57</v>
      </c>
    </row>
    <row r="328">
      <c r="A328" s="3">
        <v>89236.0</v>
      </c>
      <c r="B328" s="2" t="s">
        <v>2157</v>
      </c>
      <c r="C328" s="5">
        <v>46107.54150462963</v>
      </c>
      <c r="D328" s="2" t="s">
        <v>1363</v>
      </c>
      <c r="E328" s="2" t="s">
        <v>2158</v>
      </c>
      <c r="F328" s="3">
        <v>8.050209571E9</v>
      </c>
      <c r="G328" s="2" t="s">
        <v>44</v>
      </c>
      <c r="H328" s="2" t="s">
        <v>43</v>
      </c>
      <c r="I328" s="2" t="s">
        <v>2159</v>
      </c>
      <c r="J328" s="2" t="s">
        <v>57</v>
      </c>
    </row>
    <row r="329">
      <c r="A329" s="3">
        <v>89237.0</v>
      </c>
      <c r="B329" s="2" t="s">
        <v>2160</v>
      </c>
      <c r="C329" s="5">
        <v>46107.637453703705</v>
      </c>
      <c r="D329" s="5"/>
      <c r="E329" s="2" t="s">
        <v>2161</v>
      </c>
      <c r="F329" s="3">
        <v>8.178769716E9</v>
      </c>
      <c r="G329" s="6"/>
      <c r="H329" s="6"/>
      <c r="I329" s="6"/>
      <c r="J329" s="2" t="s">
        <v>2162</v>
      </c>
      <c r="K329" s="6"/>
    </row>
    <row r="330">
      <c r="A330" s="3">
        <v>89238.0</v>
      </c>
      <c r="B330" s="2" t="s">
        <v>2163</v>
      </c>
      <c r="C330" s="5">
        <v>46107.655648148146</v>
      </c>
      <c r="D330" s="2" t="s">
        <v>1356</v>
      </c>
      <c r="E330" s="2" t="s">
        <v>2164</v>
      </c>
      <c r="F330" s="3">
        <v>9.985784389E9</v>
      </c>
      <c r="G330" s="2" t="s">
        <v>44</v>
      </c>
      <c r="H330" s="2" t="s">
        <v>128</v>
      </c>
      <c r="I330" s="2" t="s">
        <v>127</v>
      </c>
      <c r="J330" s="2" t="s">
        <v>57</v>
      </c>
    </row>
    <row r="331">
      <c r="A331" s="3">
        <v>89239.0</v>
      </c>
      <c r="B331" s="2" t="s">
        <v>2165</v>
      </c>
      <c r="C331" s="5">
        <v>46107.65943287037</v>
      </c>
      <c r="D331" s="2" t="s">
        <v>1356</v>
      </c>
      <c r="E331" s="2" t="s">
        <v>2166</v>
      </c>
      <c r="F331" s="3">
        <v>9.38016058E9</v>
      </c>
      <c r="G331" s="2" t="s">
        <v>44</v>
      </c>
      <c r="H331" s="2" t="s">
        <v>43</v>
      </c>
      <c r="I331" s="2" t="s">
        <v>42</v>
      </c>
      <c r="J331" s="2" t="s">
        <v>57</v>
      </c>
    </row>
    <row r="332">
      <c r="A332" s="3">
        <v>89240.0</v>
      </c>
      <c r="B332" s="2" t="s">
        <v>2167</v>
      </c>
      <c r="C332" s="5">
        <v>46107.66008101852</v>
      </c>
      <c r="D332" s="2" t="s">
        <v>1356</v>
      </c>
      <c r="E332" s="2" t="s">
        <v>2168</v>
      </c>
      <c r="F332" s="3">
        <v>9.903058357E9</v>
      </c>
      <c r="G332" s="2" t="s">
        <v>44</v>
      </c>
      <c r="H332" s="2" t="s">
        <v>220</v>
      </c>
      <c r="I332" s="2" t="s">
        <v>2169</v>
      </c>
      <c r="J332" s="2" t="s">
        <v>57</v>
      </c>
    </row>
    <row r="333">
      <c r="A333" s="3">
        <v>89241.0</v>
      </c>
      <c r="B333" s="2" t="s">
        <v>2170</v>
      </c>
      <c r="C333" s="5">
        <v>46107.74506944444</v>
      </c>
      <c r="D333" s="2" t="s">
        <v>1356</v>
      </c>
      <c r="E333" s="2" t="s">
        <v>2171</v>
      </c>
      <c r="F333" s="3">
        <v>9.87108759E9</v>
      </c>
      <c r="G333" s="2" t="s">
        <v>44</v>
      </c>
      <c r="H333" s="2" t="s">
        <v>65</v>
      </c>
      <c r="I333" s="2" t="s">
        <v>1996</v>
      </c>
      <c r="J333" s="2" t="s">
        <v>57</v>
      </c>
    </row>
    <row r="334">
      <c r="A334" s="3">
        <v>89242.0</v>
      </c>
      <c r="B334" s="2" t="s">
        <v>2172</v>
      </c>
      <c r="C334" s="5">
        <v>46107.81081018518</v>
      </c>
      <c r="D334" s="2" t="s">
        <v>1363</v>
      </c>
      <c r="E334" s="2" t="s">
        <v>2173</v>
      </c>
      <c r="F334" s="3">
        <v>8.248699752E9</v>
      </c>
      <c r="G334" s="2" t="s">
        <v>44</v>
      </c>
      <c r="H334" s="2" t="s">
        <v>110</v>
      </c>
      <c r="I334" s="2" t="s">
        <v>921</v>
      </c>
      <c r="J334" s="2" t="s">
        <v>57</v>
      </c>
    </row>
    <row r="335">
      <c r="A335" s="3">
        <v>89243.0</v>
      </c>
      <c r="B335" s="2" t="s">
        <v>2174</v>
      </c>
      <c r="C335" s="5">
        <v>46107.84709490741</v>
      </c>
      <c r="D335" s="2" t="s">
        <v>1356</v>
      </c>
      <c r="E335" s="2" t="s">
        <v>2175</v>
      </c>
      <c r="F335" s="3">
        <v>9.35314209E9</v>
      </c>
      <c r="G335" s="2" t="s">
        <v>44</v>
      </c>
      <c r="H335" s="2" t="s">
        <v>43</v>
      </c>
      <c r="I335" s="2" t="s">
        <v>42</v>
      </c>
      <c r="J335" s="2" t="s">
        <v>57</v>
      </c>
    </row>
    <row r="336">
      <c r="A336" s="3">
        <v>89244.0</v>
      </c>
      <c r="B336" s="2" t="s">
        <v>2176</v>
      </c>
      <c r="C336" s="5">
        <v>46107.85460648148</v>
      </c>
      <c r="D336" s="2" t="s">
        <v>1356</v>
      </c>
      <c r="E336" s="2" t="s">
        <v>2177</v>
      </c>
      <c r="F336" s="3">
        <v>9.48710113E9</v>
      </c>
      <c r="G336" s="2" t="s">
        <v>44</v>
      </c>
      <c r="H336" s="2" t="s">
        <v>48</v>
      </c>
      <c r="I336" s="2" t="s">
        <v>2178</v>
      </c>
      <c r="J336" s="2" t="s">
        <v>57</v>
      </c>
    </row>
    <row r="337">
      <c r="A337" s="3">
        <v>89245.0</v>
      </c>
      <c r="B337" s="2" t="s">
        <v>2179</v>
      </c>
      <c r="C337" s="5">
        <v>46107.97641203704</v>
      </c>
      <c r="D337" s="2" t="s">
        <v>1363</v>
      </c>
      <c r="E337" s="2" t="s">
        <v>2180</v>
      </c>
      <c r="F337" s="3">
        <v>9.838339207E9</v>
      </c>
      <c r="G337" s="2" t="s">
        <v>44</v>
      </c>
      <c r="H337" s="2" t="s">
        <v>65</v>
      </c>
      <c r="I337" s="2" t="s">
        <v>2181</v>
      </c>
      <c r="J337" s="2" t="s">
        <v>57</v>
      </c>
    </row>
    <row r="338">
      <c r="A338" s="3">
        <v>89246.0</v>
      </c>
      <c r="B338" s="2" t="s">
        <v>2182</v>
      </c>
      <c r="C338" s="5">
        <v>46108.064722222225</v>
      </c>
      <c r="D338" s="2" t="s">
        <v>1363</v>
      </c>
      <c r="E338" s="2" t="s">
        <v>2183</v>
      </c>
      <c r="F338" s="3">
        <v>8.70035756E9</v>
      </c>
      <c r="G338" s="2" t="s">
        <v>44</v>
      </c>
      <c r="H338" s="2" t="s">
        <v>121</v>
      </c>
      <c r="I338" s="2" t="s">
        <v>121</v>
      </c>
      <c r="J338" s="2" t="s">
        <v>57</v>
      </c>
    </row>
    <row r="339">
      <c r="A339" s="3">
        <v>89247.0</v>
      </c>
      <c r="B339" s="2" t="s">
        <v>2184</v>
      </c>
      <c r="C339" s="5">
        <v>46108.138969907406</v>
      </c>
      <c r="D339" s="2" t="s">
        <v>1363</v>
      </c>
      <c r="E339" s="2" t="s">
        <v>2185</v>
      </c>
      <c r="F339" s="10">
        <v>1.9293E10</v>
      </c>
      <c r="G339" s="2" t="s">
        <v>533</v>
      </c>
      <c r="H339" s="2" t="s">
        <v>1498</v>
      </c>
      <c r="I339" s="2" t="s">
        <v>2186</v>
      </c>
      <c r="J339" s="2" t="s">
        <v>57</v>
      </c>
    </row>
    <row r="340">
      <c r="A340" s="3">
        <v>89248.0</v>
      </c>
      <c r="B340" s="2" t="s">
        <v>2187</v>
      </c>
      <c r="C340" s="5">
        <v>46108.511770833335</v>
      </c>
      <c r="D340" s="2" t="s">
        <v>1356</v>
      </c>
      <c r="E340" s="2" t="s">
        <v>2188</v>
      </c>
      <c r="F340" s="3">
        <v>7.307605158E9</v>
      </c>
      <c r="G340" s="2" t="s">
        <v>44</v>
      </c>
      <c r="H340" s="2" t="s">
        <v>65</v>
      </c>
      <c r="I340" s="2" t="s">
        <v>136</v>
      </c>
      <c r="J340" s="2" t="s">
        <v>57</v>
      </c>
    </row>
    <row r="341">
      <c r="A341" s="3">
        <v>89249.0</v>
      </c>
      <c r="B341" s="2" t="s">
        <v>2189</v>
      </c>
      <c r="C341" s="5">
        <v>46108.58244212963</v>
      </c>
      <c r="D341" s="2" t="s">
        <v>1363</v>
      </c>
      <c r="E341" s="2" t="s">
        <v>2190</v>
      </c>
      <c r="F341" s="3">
        <v>9.657386794E9</v>
      </c>
      <c r="G341" s="2" t="s">
        <v>44</v>
      </c>
      <c r="H341" s="2" t="s">
        <v>59</v>
      </c>
      <c r="I341" s="2" t="s">
        <v>622</v>
      </c>
      <c r="J341" s="2" t="s">
        <v>57</v>
      </c>
    </row>
    <row r="342">
      <c r="A342" s="3">
        <v>89250.0</v>
      </c>
      <c r="B342" s="2" t="s">
        <v>2191</v>
      </c>
      <c r="C342" s="5">
        <v>46108.71774305555</v>
      </c>
      <c r="D342" s="2" t="s">
        <v>1356</v>
      </c>
      <c r="E342" s="2" t="s">
        <v>2192</v>
      </c>
      <c r="F342" s="3">
        <v>9.02674144E9</v>
      </c>
      <c r="G342" s="2" t="s">
        <v>44</v>
      </c>
      <c r="H342" s="2" t="s">
        <v>65</v>
      </c>
      <c r="I342" s="2" t="s">
        <v>2193</v>
      </c>
      <c r="J342" s="2" t="s">
        <v>57</v>
      </c>
    </row>
    <row r="343">
      <c r="A343" s="3">
        <v>89251.0</v>
      </c>
      <c r="B343" s="2" t="s">
        <v>2194</v>
      </c>
      <c r="C343" s="5">
        <v>46108.7290162037</v>
      </c>
      <c r="D343" s="2" t="s">
        <v>1356</v>
      </c>
      <c r="E343" s="2" t="s">
        <v>2195</v>
      </c>
      <c r="F343" s="3">
        <v>8.240063865E9</v>
      </c>
      <c r="G343" s="2" t="s">
        <v>44</v>
      </c>
      <c r="H343" s="2" t="s">
        <v>220</v>
      </c>
      <c r="I343" s="2" t="s">
        <v>219</v>
      </c>
      <c r="J343" s="2" t="s">
        <v>57</v>
      </c>
    </row>
    <row r="344">
      <c r="A344" s="3">
        <v>89252.0</v>
      </c>
      <c r="B344" s="2" t="s">
        <v>2196</v>
      </c>
      <c r="C344" s="5">
        <v>46108.740439814814</v>
      </c>
      <c r="D344" s="2" t="s">
        <v>1356</v>
      </c>
      <c r="E344" s="2" t="s">
        <v>2197</v>
      </c>
      <c r="F344" s="3">
        <v>8.178870069E9</v>
      </c>
      <c r="G344" s="2" t="s">
        <v>44</v>
      </c>
      <c r="H344" s="2" t="s">
        <v>65</v>
      </c>
      <c r="I344" s="2" t="s">
        <v>2198</v>
      </c>
      <c r="J344" s="2" t="s">
        <v>557</v>
      </c>
    </row>
    <row r="345">
      <c r="A345" s="3">
        <v>89253.0</v>
      </c>
      <c r="B345" s="2" t="s">
        <v>2199</v>
      </c>
      <c r="C345" s="5">
        <v>46108.78518518519</v>
      </c>
      <c r="D345" s="2" t="s">
        <v>1356</v>
      </c>
      <c r="E345" s="2" t="s">
        <v>2200</v>
      </c>
      <c r="F345" s="10">
        <v>3.1617E10</v>
      </c>
      <c r="G345" s="2" t="s">
        <v>1431</v>
      </c>
      <c r="H345" s="2" t="s">
        <v>2201</v>
      </c>
      <c r="I345" s="2" t="s">
        <v>2201</v>
      </c>
      <c r="J345" s="2" t="s">
        <v>57</v>
      </c>
    </row>
    <row r="346">
      <c r="A346" s="3">
        <v>89254.0</v>
      </c>
      <c r="B346" s="2" t="s">
        <v>2202</v>
      </c>
      <c r="C346" s="5">
        <v>46108.810219907406</v>
      </c>
      <c r="D346" s="2" t="s">
        <v>1356</v>
      </c>
      <c r="E346" s="2" t="s">
        <v>2203</v>
      </c>
      <c r="F346" s="3">
        <v>8.369227724E9</v>
      </c>
      <c r="G346" s="2" t="s">
        <v>44</v>
      </c>
      <c r="H346" s="2" t="s">
        <v>59</v>
      </c>
      <c r="I346" s="2" t="s">
        <v>156</v>
      </c>
      <c r="J346" s="2" t="s">
        <v>57</v>
      </c>
    </row>
    <row r="347">
      <c r="A347" s="3">
        <v>89255.0</v>
      </c>
      <c r="B347" s="2" t="s">
        <v>2204</v>
      </c>
      <c r="C347" s="5">
        <v>46108.89864583333</v>
      </c>
      <c r="D347" s="2" t="s">
        <v>1363</v>
      </c>
      <c r="E347" s="2" t="s">
        <v>2205</v>
      </c>
      <c r="F347" s="3">
        <v>7.982675424E9</v>
      </c>
      <c r="G347" s="2" t="s">
        <v>44</v>
      </c>
      <c r="H347" s="2" t="s">
        <v>121</v>
      </c>
      <c r="I347" s="2" t="s">
        <v>120</v>
      </c>
      <c r="J347" s="2" t="s">
        <v>57</v>
      </c>
    </row>
    <row r="348">
      <c r="A348" s="3">
        <v>89256.0</v>
      </c>
      <c r="B348" s="2" t="s">
        <v>2206</v>
      </c>
      <c r="C348" s="5">
        <v>46108.90204861111</v>
      </c>
      <c r="D348" s="2" t="s">
        <v>1356</v>
      </c>
      <c r="E348" s="2" t="s">
        <v>2207</v>
      </c>
      <c r="F348" s="10">
        <v>1.2028E10</v>
      </c>
      <c r="G348" s="2" t="s">
        <v>533</v>
      </c>
      <c r="H348" s="2" t="s">
        <v>1825</v>
      </c>
      <c r="I348" s="2" t="s">
        <v>1819</v>
      </c>
      <c r="J348" s="2" t="s">
        <v>57</v>
      </c>
    </row>
    <row r="349">
      <c r="A349" s="3">
        <v>89257.0</v>
      </c>
      <c r="B349" s="2" t="s">
        <v>2208</v>
      </c>
      <c r="C349" s="5">
        <v>46108.97869212963</v>
      </c>
      <c r="D349" s="2" t="s">
        <v>1356</v>
      </c>
      <c r="E349" s="2" t="s">
        <v>2209</v>
      </c>
      <c r="F349" s="3">
        <v>2.4076097E9</v>
      </c>
      <c r="G349" s="2" t="s">
        <v>533</v>
      </c>
      <c r="H349" s="2" t="s">
        <v>2210</v>
      </c>
      <c r="I349" s="2" t="s">
        <v>2211</v>
      </c>
      <c r="J349" s="2" t="s">
        <v>57</v>
      </c>
    </row>
    <row r="350">
      <c r="A350" s="3">
        <v>89258.0</v>
      </c>
      <c r="B350" s="2" t="s">
        <v>2212</v>
      </c>
      <c r="C350" s="5">
        <v>46109.04420138889</v>
      </c>
      <c r="D350" s="2" t="s">
        <v>1356</v>
      </c>
      <c r="E350" s="2" t="s">
        <v>2213</v>
      </c>
      <c r="F350" s="3">
        <v>7.43913208E9</v>
      </c>
      <c r="G350" s="2" t="s">
        <v>44</v>
      </c>
      <c r="H350" s="2" t="s">
        <v>220</v>
      </c>
      <c r="I350" s="2" t="s">
        <v>1591</v>
      </c>
      <c r="J350" s="2" t="s">
        <v>57</v>
      </c>
    </row>
    <row r="351">
      <c r="A351" s="3">
        <v>89259.0</v>
      </c>
      <c r="B351" s="2" t="s">
        <v>2214</v>
      </c>
      <c r="C351" s="5">
        <v>46109.0953125</v>
      </c>
      <c r="D351" s="2" t="s">
        <v>1363</v>
      </c>
      <c r="E351" s="2" t="s">
        <v>2215</v>
      </c>
      <c r="F351" s="3">
        <v>7.742903678E9</v>
      </c>
      <c r="G351" s="2" t="s">
        <v>533</v>
      </c>
      <c r="H351" s="2" t="s">
        <v>532</v>
      </c>
      <c r="I351" s="2" t="s">
        <v>1009</v>
      </c>
      <c r="J351" s="2" t="s">
        <v>57</v>
      </c>
    </row>
    <row r="352">
      <c r="A352" s="3">
        <v>89260.0</v>
      </c>
      <c r="B352" s="2" t="s">
        <v>2216</v>
      </c>
      <c r="C352" s="5">
        <v>46109.303611111114</v>
      </c>
      <c r="D352" s="2" t="s">
        <v>1356</v>
      </c>
      <c r="E352" s="2" t="s">
        <v>2217</v>
      </c>
      <c r="F352" s="3">
        <v>9.342254342E9</v>
      </c>
      <c r="G352" s="2" t="s">
        <v>44</v>
      </c>
      <c r="H352" s="2" t="s">
        <v>43</v>
      </c>
      <c r="I352" s="2" t="s">
        <v>42</v>
      </c>
      <c r="J352" s="2" t="s">
        <v>57</v>
      </c>
    </row>
    <row r="353">
      <c r="A353" s="3">
        <v>89261.0</v>
      </c>
      <c r="B353" s="2" t="s">
        <v>2218</v>
      </c>
      <c r="C353" s="5">
        <v>46109.41076388889</v>
      </c>
      <c r="D353" s="2" t="s">
        <v>1356</v>
      </c>
      <c r="E353" s="2" t="s">
        <v>2219</v>
      </c>
      <c r="F353" s="3">
        <v>8.7524743E7</v>
      </c>
      <c r="G353" s="2" t="s">
        <v>597</v>
      </c>
      <c r="H353" s="2" t="s">
        <v>597</v>
      </c>
      <c r="I353" s="2" t="s">
        <v>597</v>
      </c>
      <c r="J353" s="2" t="s">
        <v>57</v>
      </c>
    </row>
    <row r="354">
      <c r="A354" s="3">
        <v>89262.0</v>
      </c>
      <c r="B354" s="2" t="s">
        <v>2220</v>
      </c>
      <c r="C354" s="5">
        <v>46109.485601851855</v>
      </c>
      <c r="D354" s="2" t="s">
        <v>1356</v>
      </c>
      <c r="E354" s="2" t="s">
        <v>2221</v>
      </c>
      <c r="F354" s="3">
        <v>7.814409697E9</v>
      </c>
      <c r="G354" s="2" t="s">
        <v>44</v>
      </c>
      <c r="H354" s="2" t="s">
        <v>226</v>
      </c>
      <c r="I354" s="2" t="s">
        <v>1034</v>
      </c>
      <c r="J354" s="2" t="s">
        <v>57</v>
      </c>
    </row>
    <row r="355">
      <c r="A355" s="3">
        <v>89263.0</v>
      </c>
      <c r="B355" s="2" t="s">
        <v>2222</v>
      </c>
      <c r="C355" s="5">
        <v>46109.541817129626</v>
      </c>
      <c r="D355" s="2" t="s">
        <v>1356</v>
      </c>
      <c r="E355" s="2" t="s">
        <v>2223</v>
      </c>
      <c r="F355" s="3">
        <v>9.494241102E9</v>
      </c>
      <c r="G355" s="2" t="s">
        <v>44</v>
      </c>
      <c r="H355" s="2" t="s">
        <v>121</v>
      </c>
      <c r="I355" s="2" t="s">
        <v>120</v>
      </c>
      <c r="J355" s="2" t="s">
        <v>57</v>
      </c>
    </row>
    <row r="356">
      <c r="A356" s="3">
        <v>89264.0</v>
      </c>
      <c r="B356" s="2" t="s">
        <v>2224</v>
      </c>
      <c r="C356" s="5">
        <v>46109.60386574074</v>
      </c>
      <c r="D356" s="2" t="s">
        <v>1356</v>
      </c>
      <c r="E356" s="2" t="s">
        <v>2225</v>
      </c>
      <c r="F356" s="3">
        <v>9.620754696E9</v>
      </c>
      <c r="G356" s="2" t="s">
        <v>44</v>
      </c>
      <c r="H356" s="2" t="s">
        <v>43</v>
      </c>
      <c r="I356" s="2" t="s">
        <v>42</v>
      </c>
      <c r="J356" s="2" t="s">
        <v>57</v>
      </c>
    </row>
    <row r="357">
      <c r="A357" s="3">
        <v>89265.0</v>
      </c>
      <c r="B357" s="2" t="s">
        <v>2226</v>
      </c>
      <c r="C357" s="5">
        <v>46109.663622685184</v>
      </c>
      <c r="D357" s="2" t="s">
        <v>1356</v>
      </c>
      <c r="E357" s="2" t="s">
        <v>2227</v>
      </c>
      <c r="F357" s="3">
        <v>7.837929676E9</v>
      </c>
      <c r="G357" s="2" t="s">
        <v>44</v>
      </c>
      <c r="H357" s="2" t="s">
        <v>2228</v>
      </c>
      <c r="I357" s="2" t="s">
        <v>2228</v>
      </c>
      <c r="J357" s="2" t="s">
        <v>57</v>
      </c>
    </row>
    <row r="358">
      <c r="A358" s="3">
        <v>89266.0</v>
      </c>
      <c r="B358" s="2" t="s">
        <v>2229</v>
      </c>
      <c r="C358" s="5">
        <v>46109.679814814815</v>
      </c>
      <c r="D358" s="2" t="s">
        <v>1356</v>
      </c>
      <c r="E358" s="2" t="s">
        <v>2230</v>
      </c>
      <c r="F358" s="3">
        <v>9.945533106E9</v>
      </c>
      <c r="G358" s="2" t="s">
        <v>1597</v>
      </c>
      <c r="H358" s="2" t="s">
        <v>2231</v>
      </c>
      <c r="I358" s="2" t="s">
        <v>2231</v>
      </c>
      <c r="J358" s="2" t="s">
        <v>57</v>
      </c>
    </row>
    <row r="359">
      <c r="A359" s="3">
        <v>89267.0</v>
      </c>
      <c r="B359" s="2" t="s">
        <v>2232</v>
      </c>
      <c r="C359" s="5">
        <v>46109.836701388886</v>
      </c>
      <c r="D359" s="2" t="s">
        <v>1356</v>
      </c>
      <c r="E359" s="2" t="s">
        <v>2233</v>
      </c>
      <c r="F359" s="3">
        <v>8.953677661E9</v>
      </c>
      <c r="G359" s="2" t="s">
        <v>44</v>
      </c>
      <c r="H359" s="2" t="s">
        <v>65</v>
      </c>
      <c r="I359" s="2" t="s">
        <v>2181</v>
      </c>
      <c r="J359" s="2" t="s">
        <v>57</v>
      </c>
    </row>
    <row r="360">
      <c r="A360" s="3">
        <v>89268.0</v>
      </c>
      <c r="B360" s="2" t="s">
        <v>2234</v>
      </c>
      <c r="C360" s="5">
        <v>46109.863657407404</v>
      </c>
      <c r="D360" s="2" t="s">
        <v>1356</v>
      </c>
      <c r="E360" s="2" t="s">
        <v>2235</v>
      </c>
      <c r="F360" s="3">
        <v>9.599698806E9</v>
      </c>
      <c r="G360" s="2" t="s">
        <v>44</v>
      </c>
      <c r="H360" s="2" t="s">
        <v>65</v>
      </c>
      <c r="I360" s="2" t="s">
        <v>618</v>
      </c>
      <c r="J360" s="2" t="s">
        <v>57</v>
      </c>
    </row>
    <row r="361">
      <c r="A361" s="3">
        <v>89269.0</v>
      </c>
      <c r="B361" s="2" t="s">
        <v>2236</v>
      </c>
      <c r="C361" s="5">
        <v>46109.97483796296</v>
      </c>
      <c r="D361" s="2" t="s">
        <v>1363</v>
      </c>
      <c r="E361" s="2" t="s">
        <v>2237</v>
      </c>
      <c r="F361" s="3">
        <v>9.176745941E9</v>
      </c>
      <c r="G361" s="2" t="s">
        <v>44</v>
      </c>
      <c r="H361" s="2" t="s">
        <v>110</v>
      </c>
      <c r="I361" s="2" t="s">
        <v>191</v>
      </c>
      <c r="J361" s="2" t="s">
        <v>57</v>
      </c>
    </row>
    <row r="362">
      <c r="A362" s="3">
        <v>89270.0</v>
      </c>
      <c r="B362" s="2" t="s">
        <v>2238</v>
      </c>
      <c r="C362" s="5">
        <v>46110.21858796296</v>
      </c>
      <c r="D362" s="2" t="s">
        <v>1356</v>
      </c>
      <c r="E362" s="6"/>
      <c r="F362" s="6"/>
      <c r="G362" s="2" t="s">
        <v>533</v>
      </c>
      <c r="H362" s="2" t="s">
        <v>532</v>
      </c>
      <c r="I362" s="2" t="s">
        <v>2239</v>
      </c>
      <c r="J362" s="2" t="s">
        <v>57</v>
      </c>
    </row>
    <row r="363">
      <c r="A363" s="3">
        <v>89271.0</v>
      </c>
      <c r="B363" s="2" t="s">
        <v>2240</v>
      </c>
      <c r="C363" s="5">
        <v>46110.26834490741</v>
      </c>
      <c r="D363" s="2" t="s">
        <v>1363</v>
      </c>
      <c r="E363" s="2" t="s">
        <v>2241</v>
      </c>
      <c r="F363" s="3">
        <v>7.691819177E9</v>
      </c>
      <c r="G363" s="2" t="s">
        <v>44</v>
      </c>
      <c r="H363" s="2" t="s">
        <v>455</v>
      </c>
      <c r="I363" s="2" t="s">
        <v>2242</v>
      </c>
      <c r="J363" s="2" t="s">
        <v>57</v>
      </c>
    </row>
    <row r="364">
      <c r="A364" s="3">
        <v>89272.0</v>
      </c>
      <c r="B364" s="2" t="s">
        <v>2243</v>
      </c>
      <c r="C364" s="5">
        <v>46110.31456018519</v>
      </c>
      <c r="D364" s="2" t="s">
        <v>1363</v>
      </c>
      <c r="E364" s="2" t="s">
        <v>2244</v>
      </c>
      <c r="F364" s="3">
        <v>6.296750958E9</v>
      </c>
      <c r="G364" s="2" t="s">
        <v>44</v>
      </c>
      <c r="H364" s="2" t="s">
        <v>220</v>
      </c>
      <c r="I364" s="2" t="s">
        <v>2245</v>
      </c>
      <c r="J364" s="2" t="s">
        <v>57</v>
      </c>
    </row>
    <row r="365">
      <c r="A365" s="3">
        <v>89273.0</v>
      </c>
      <c r="B365" s="2" t="s">
        <v>2246</v>
      </c>
      <c r="C365" s="5">
        <v>46110.36630787037</v>
      </c>
      <c r="D365" s="2" t="s">
        <v>1356</v>
      </c>
      <c r="E365" s="2" t="s">
        <v>2247</v>
      </c>
      <c r="F365" s="3">
        <v>4.60763153E8</v>
      </c>
      <c r="G365" s="2" t="s">
        <v>881</v>
      </c>
      <c r="H365" s="2" t="s">
        <v>2248</v>
      </c>
      <c r="I365" s="2" t="s">
        <v>2248</v>
      </c>
      <c r="J365" s="2" t="s">
        <v>57</v>
      </c>
    </row>
    <row r="366">
      <c r="A366" s="3">
        <v>89274.0</v>
      </c>
      <c r="B366" s="2" t="s">
        <v>2249</v>
      </c>
      <c r="C366" s="5">
        <v>46110.42449074074</v>
      </c>
      <c r="D366" s="2" t="s">
        <v>1356</v>
      </c>
      <c r="E366" s="2" t="s">
        <v>2250</v>
      </c>
      <c r="F366" s="3">
        <v>9.17781455E9</v>
      </c>
      <c r="G366" s="2" t="s">
        <v>44</v>
      </c>
      <c r="H366" s="2" t="s">
        <v>128</v>
      </c>
      <c r="I366" s="2" t="s">
        <v>127</v>
      </c>
      <c r="J366" s="2" t="s">
        <v>57</v>
      </c>
    </row>
    <row r="367">
      <c r="A367" s="3">
        <v>89275.0</v>
      </c>
      <c r="B367" s="2" t="s">
        <v>2251</v>
      </c>
      <c r="C367" s="5">
        <v>46110.49774305556</v>
      </c>
      <c r="D367" s="2" t="s">
        <v>1356</v>
      </c>
      <c r="E367" s="2" t="s">
        <v>2252</v>
      </c>
      <c r="F367" s="3">
        <v>8.279352934E9</v>
      </c>
      <c r="G367" s="2" t="s">
        <v>44</v>
      </c>
      <c r="H367" s="2" t="s">
        <v>1560</v>
      </c>
      <c r="I367" s="2" t="s">
        <v>1618</v>
      </c>
      <c r="J367" s="2" t="s">
        <v>57</v>
      </c>
    </row>
    <row r="368">
      <c r="A368" s="3">
        <v>89276.0</v>
      </c>
      <c r="B368" s="2" t="s">
        <v>2253</v>
      </c>
      <c r="C368" s="5">
        <v>46110.51600694445</v>
      </c>
      <c r="D368" s="2" t="s">
        <v>1356</v>
      </c>
      <c r="E368" s="2" t="s">
        <v>2254</v>
      </c>
      <c r="F368" s="10">
        <v>9.1778E11</v>
      </c>
      <c r="G368" s="2" t="s">
        <v>44</v>
      </c>
      <c r="H368" s="2" t="s">
        <v>59</v>
      </c>
      <c r="I368" s="2" t="s">
        <v>275</v>
      </c>
      <c r="J368" s="2" t="s">
        <v>57</v>
      </c>
    </row>
    <row r="369">
      <c r="A369" s="3">
        <v>89277.0</v>
      </c>
      <c r="B369" s="2" t="s">
        <v>2255</v>
      </c>
      <c r="C369" s="5">
        <v>46110.52835648148</v>
      </c>
      <c r="D369" s="2" t="s">
        <v>1363</v>
      </c>
      <c r="E369" s="2" t="s">
        <v>2256</v>
      </c>
      <c r="F369" s="3">
        <v>9.417773351E9</v>
      </c>
      <c r="G369" s="2" t="s">
        <v>44</v>
      </c>
      <c r="H369" s="2" t="s">
        <v>226</v>
      </c>
      <c r="I369" s="2" t="s">
        <v>2257</v>
      </c>
      <c r="J369" s="2" t="s">
        <v>57</v>
      </c>
    </row>
    <row r="370">
      <c r="A370" s="3">
        <v>89278.0</v>
      </c>
      <c r="B370" s="2" t="s">
        <v>2258</v>
      </c>
      <c r="C370" s="5">
        <v>46110.55856481481</v>
      </c>
      <c r="D370" s="2" t="s">
        <v>1356</v>
      </c>
      <c r="E370" s="2" t="s">
        <v>2259</v>
      </c>
      <c r="F370" s="3">
        <v>9.643929951E9</v>
      </c>
      <c r="G370" s="2" t="s">
        <v>44</v>
      </c>
      <c r="H370" s="2" t="s">
        <v>121</v>
      </c>
      <c r="I370" s="2" t="s">
        <v>121</v>
      </c>
      <c r="J370" s="2" t="s">
        <v>57</v>
      </c>
    </row>
    <row r="371">
      <c r="A371" s="3">
        <v>89279.0</v>
      </c>
      <c r="B371" s="2" t="s">
        <v>2260</v>
      </c>
      <c r="C371" s="5">
        <v>46110.57710648148</v>
      </c>
      <c r="D371" s="2" t="s">
        <v>1363</v>
      </c>
      <c r="E371" s="2" t="s">
        <v>2261</v>
      </c>
      <c r="F371" s="3">
        <v>7.458055385E9</v>
      </c>
      <c r="G371" s="2" t="s">
        <v>44</v>
      </c>
      <c r="H371" s="2" t="s">
        <v>65</v>
      </c>
      <c r="I371" s="2" t="s">
        <v>2262</v>
      </c>
      <c r="J371" s="2" t="s">
        <v>57</v>
      </c>
    </row>
    <row r="372">
      <c r="A372" s="3">
        <v>89280.0</v>
      </c>
      <c r="B372" s="2" t="s">
        <v>2263</v>
      </c>
      <c r="C372" s="5">
        <v>46110.662766203706</v>
      </c>
      <c r="D372" s="2" t="s">
        <v>1356</v>
      </c>
      <c r="E372" s="2" t="s">
        <v>2264</v>
      </c>
      <c r="F372" s="3">
        <v>9.779302263E9</v>
      </c>
      <c r="G372" s="2" t="s">
        <v>44</v>
      </c>
      <c r="H372" s="2" t="s">
        <v>59</v>
      </c>
      <c r="I372" s="2" t="s">
        <v>2010</v>
      </c>
      <c r="J372" s="2" t="s">
        <v>57</v>
      </c>
    </row>
    <row r="373">
      <c r="A373" s="3">
        <v>89281.0</v>
      </c>
      <c r="B373" s="2" t="s">
        <v>2265</v>
      </c>
      <c r="C373" s="5">
        <v>46110.70581018519</v>
      </c>
      <c r="D373" s="5"/>
      <c r="E373" s="2" t="s">
        <v>2266</v>
      </c>
      <c r="F373" s="3">
        <v>9.818431995E9</v>
      </c>
      <c r="G373" s="6"/>
      <c r="H373" s="6"/>
      <c r="I373" s="6"/>
      <c r="J373" s="2" t="s">
        <v>2267</v>
      </c>
      <c r="K373" s="6"/>
    </row>
    <row r="374">
      <c r="A374" s="3">
        <v>89282.0</v>
      </c>
      <c r="B374" s="2" t="s">
        <v>2268</v>
      </c>
      <c r="C374" s="5">
        <v>46110.78396990741</v>
      </c>
      <c r="D374" s="2" t="s">
        <v>1356</v>
      </c>
      <c r="E374" s="2" t="s">
        <v>2269</v>
      </c>
      <c r="F374" s="3">
        <v>7.299008E9</v>
      </c>
      <c r="G374" s="2" t="s">
        <v>44</v>
      </c>
      <c r="H374" s="2" t="s">
        <v>110</v>
      </c>
      <c r="I374" s="2" t="s">
        <v>191</v>
      </c>
      <c r="J374" s="2" t="s">
        <v>57</v>
      </c>
    </row>
    <row r="375">
      <c r="A375" s="3">
        <v>89283.0</v>
      </c>
      <c r="B375" s="2" t="s">
        <v>2255</v>
      </c>
      <c r="C375" s="5">
        <v>46110.78486111111</v>
      </c>
      <c r="D375" s="2" t="s">
        <v>1363</v>
      </c>
      <c r="E375" s="2" t="s">
        <v>2270</v>
      </c>
      <c r="F375" s="3">
        <v>9.216905498E9</v>
      </c>
      <c r="G375" s="2" t="s">
        <v>44</v>
      </c>
      <c r="H375" s="2" t="s">
        <v>455</v>
      </c>
      <c r="I375" s="2" t="s">
        <v>454</v>
      </c>
      <c r="J375" s="2" t="s">
        <v>57</v>
      </c>
    </row>
    <row r="376">
      <c r="A376" s="3">
        <v>89284.0</v>
      </c>
      <c r="B376" s="2" t="s">
        <v>2271</v>
      </c>
      <c r="C376" s="5">
        <v>46110.79730324074</v>
      </c>
      <c r="D376" s="2" t="s">
        <v>1363</v>
      </c>
      <c r="E376" s="2" t="s">
        <v>2272</v>
      </c>
      <c r="F376" s="3">
        <v>7.010846335E9</v>
      </c>
      <c r="G376" s="2" t="s">
        <v>44</v>
      </c>
      <c r="H376" s="2" t="s">
        <v>110</v>
      </c>
      <c r="I376" s="2" t="s">
        <v>191</v>
      </c>
      <c r="J376" s="2" t="s">
        <v>57</v>
      </c>
    </row>
    <row r="377">
      <c r="A377" s="3">
        <v>89285.0</v>
      </c>
      <c r="B377" s="2" t="s">
        <v>2273</v>
      </c>
      <c r="C377" s="5">
        <v>46110.988391203704</v>
      </c>
      <c r="D377" s="2" t="s">
        <v>1356</v>
      </c>
      <c r="E377" s="2" t="s">
        <v>2274</v>
      </c>
      <c r="F377" s="3">
        <v>8.171610499E9</v>
      </c>
      <c r="G377" s="2" t="s">
        <v>44</v>
      </c>
      <c r="H377" s="2" t="s">
        <v>65</v>
      </c>
      <c r="I377" s="2" t="s">
        <v>1713</v>
      </c>
      <c r="J377" s="2" t="s">
        <v>57</v>
      </c>
    </row>
    <row r="378">
      <c r="A378" s="3">
        <v>89286.0</v>
      </c>
      <c r="B378" s="2" t="s">
        <v>2275</v>
      </c>
      <c r="C378" s="5">
        <v>46111.07302083333</v>
      </c>
      <c r="D378" s="2" t="s">
        <v>1356</v>
      </c>
      <c r="E378" s="2" t="s">
        <v>2276</v>
      </c>
      <c r="F378" s="3">
        <v>9.494302481E9</v>
      </c>
      <c r="G378" s="2" t="s">
        <v>44</v>
      </c>
      <c r="H378" s="2" t="s">
        <v>43</v>
      </c>
      <c r="I378" s="2" t="s">
        <v>42</v>
      </c>
      <c r="J378" s="2" t="s">
        <v>57</v>
      </c>
    </row>
    <row r="379">
      <c r="A379" s="3">
        <v>89287.0</v>
      </c>
      <c r="B379" s="2" t="s">
        <v>2277</v>
      </c>
      <c r="C379" s="5">
        <v>46111.093136574076</v>
      </c>
      <c r="D379" s="2" t="s">
        <v>1356</v>
      </c>
      <c r="E379" s="2" t="s">
        <v>2278</v>
      </c>
      <c r="F379" s="3">
        <v>8.218958095E9</v>
      </c>
      <c r="G379" s="2" t="s">
        <v>44</v>
      </c>
      <c r="H379" s="2" t="s">
        <v>65</v>
      </c>
      <c r="I379" s="2" t="s">
        <v>1713</v>
      </c>
      <c r="J379" s="2" t="s">
        <v>57</v>
      </c>
    </row>
    <row r="380">
      <c r="A380" s="3">
        <v>89288.0</v>
      </c>
      <c r="B380" s="2" t="s">
        <v>2279</v>
      </c>
      <c r="C380" s="5">
        <v>46111.270949074074</v>
      </c>
      <c r="D380" s="2" t="s">
        <v>1356</v>
      </c>
      <c r="E380" s="2" t="s">
        <v>2280</v>
      </c>
      <c r="F380" s="3">
        <v>9.301909995E9</v>
      </c>
      <c r="G380" s="2" t="s">
        <v>44</v>
      </c>
      <c r="H380" s="2" t="s">
        <v>1115</v>
      </c>
      <c r="I380" s="2" t="s">
        <v>2114</v>
      </c>
      <c r="J380" s="2" t="s">
        <v>57</v>
      </c>
    </row>
    <row r="381">
      <c r="A381" s="3">
        <v>89289.0</v>
      </c>
      <c r="B381" s="2" t="s">
        <v>2281</v>
      </c>
      <c r="C381" s="5">
        <v>46111.52396990741</v>
      </c>
      <c r="D381" s="2" t="s">
        <v>1356</v>
      </c>
      <c r="E381" s="2" t="s">
        <v>2282</v>
      </c>
      <c r="F381" s="3">
        <v>8.195879595E9</v>
      </c>
      <c r="G381" s="2" t="s">
        <v>44</v>
      </c>
      <c r="H381" s="2" t="s">
        <v>226</v>
      </c>
      <c r="I381" s="2" t="s">
        <v>2283</v>
      </c>
      <c r="J381" s="2" t="s">
        <v>57</v>
      </c>
    </row>
    <row r="382">
      <c r="A382" s="3">
        <v>89290.0</v>
      </c>
      <c r="B382" s="2" t="s">
        <v>2284</v>
      </c>
      <c r="C382" s="5">
        <v>46111.67762731481</v>
      </c>
      <c r="D382" s="2" t="s">
        <v>1356</v>
      </c>
      <c r="E382" s="2" t="s">
        <v>2285</v>
      </c>
      <c r="F382" s="3">
        <v>9.172559937E9</v>
      </c>
      <c r="G382" s="2" t="s">
        <v>44</v>
      </c>
      <c r="H382" s="2" t="s">
        <v>59</v>
      </c>
      <c r="I382" s="2" t="s">
        <v>443</v>
      </c>
      <c r="J382" s="2" t="s">
        <v>57</v>
      </c>
    </row>
    <row r="383">
      <c r="A383" s="3">
        <v>89291.0</v>
      </c>
      <c r="B383" s="2" t="s">
        <v>2286</v>
      </c>
      <c r="C383" s="5">
        <v>46111.78107638889</v>
      </c>
      <c r="D383" s="2" t="s">
        <v>1356</v>
      </c>
      <c r="E383" s="2" t="s">
        <v>2287</v>
      </c>
      <c r="F383" s="3">
        <v>9.819012973E9</v>
      </c>
      <c r="G383" s="2" t="s">
        <v>44</v>
      </c>
      <c r="H383" s="2" t="s">
        <v>59</v>
      </c>
      <c r="I383" s="2" t="s">
        <v>156</v>
      </c>
      <c r="J383" s="2" t="s">
        <v>57</v>
      </c>
    </row>
    <row r="384">
      <c r="A384" s="3">
        <v>89292.0</v>
      </c>
      <c r="B384" s="2" t="s">
        <v>2288</v>
      </c>
      <c r="C384" s="5">
        <v>46111.94241898148</v>
      </c>
      <c r="D384" s="2" t="s">
        <v>1356</v>
      </c>
      <c r="E384" s="2" t="s">
        <v>2289</v>
      </c>
      <c r="F384" s="3">
        <v>8.169887827E9</v>
      </c>
      <c r="G384" s="2" t="s">
        <v>44</v>
      </c>
      <c r="H384" s="2" t="s">
        <v>48</v>
      </c>
      <c r="I384" s="2" t="s">
        <v>877</v>
      </c>
      <c r="J384" s="2" t="s">
        <v>57</v>
      </c>
    </row>
    <row r="385">
      <c r="A385" s="3">
        <v>89293.0</v>
      </c>
      <c r="B385" s="2" t="s">
        <v>2290</v>
      </c>
      <c r="C385" s="5">
        <v>46111.96695601852</v>
      </c>
      <c r="D385" s="2" t="s">
        <v>1356</v>
      </c>
      <c r="E385" s="2" t="s">
        <v>2291</v>
      </c>
      <c r="F385" s="3">
        <v>9.108129054E9</v>
      </c>
      <c r="G385" s="2" t="s">
        <v>44</v>
      </c>
      <c r="H385" s="2" t="s">
        <v>286</v>
      </c>
      <c r="I385" s="2" t="s">
        <v>848</v>
      </c>
      <c r="J385" s="2" t="s">
        <v>57</v>
      </c>
    </row>
  </sheetData>
  <mergeCells count="376"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I294:J294"/>
    <mergeCell ref="J295:K295"/>
    <mergeCell ref="J296:K296"/>
    <mergeCell ref="J297:K297"/>
    <mergeCell ref="J298:K298"/>
    <mergeCell ref="J299:K299"/>
    <mergeCell ref="J300:K300"/>
    <mergeCell ref="J301:K30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81:K381"/>
    <mergeCell ref="J382:K382"/>
    <mergeCell ref="J383:K383"/>
    <mergeCell ref="J384:K384"/>
    <mergeCell ref="J385:K385"/>
    <mergeCell ref="J374:K374"/>
    <mergeCell ref="J375:K375"/>
    <mergeCell ref="J376:K376"/>
    <mergeCell ref="J377:K377"/>
    <mergeCell ref="J378:K378"/>
    <mergeCell ref="J379:K379"/>
    <mergeCell ref="J380:K380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</mergeCells>
  <drawing r:id="rId1"/>
</worksheet>
</file>